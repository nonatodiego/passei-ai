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9e5e13789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4eef401326244bb"/>
    <x:sheet xmlns:r="http://schemas.openxmlformats.org/officeDocument/2006/relationships" name="Cronograma" sheetId="2" r:id="R606f57e17fec49a9"/>
    <x:sheet xmlns:r="http://schemas.openxmlformats.org/officeDocument/2006/relationships" name="Estudos" sheetId="3" r:id="R107bebe8204f465b"/>
    <x:sheet xmlns:r="http://schemas.openxmlformats.org/officeDocument/2006/relationships" name="Simulados" sheetId="4" r:id="R9bbfd73aa089455f"/>
    <x:sheet xmlns:r="http://schemas.openxmlformats.org/officeDocument/2006/relationships" name="Banco de Erros" sheetId="5" r:id="R335757105d0d4f3e"/>
    <x:sheet xmlns:r="http://schemas.openxmlformats.org/officeDocument/2006/relationships" name="Revisões" sheetId="6" r:id="Refc826a010564dca"/>
    <x:sheet xmlns:r="http://schemas.openxmlformats.org/officeDocument/2006/relationships" name="Metas" sheetId="7" r:id="R537e7076f21e48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0"/>
    <x:numFmt numFmtId="202" formatCode="0"/>
    <x:numFmt numFmtId="203" formatCode="0.0%"/>
  </x:numFmts>
  <x:fonts count="9">
    <x:font>
      <x:sz val="11"/>
      <x:color theme="1"/>
      <x:name val="Calibri"/>
    </x:font>
    <x:font>
      <x:b/>
      <x:sz val="16"/>
    </x:font>
    <x:font>
      <x:b/>
      <x:sz val="18"/>
    </x:font>
    <x:font>
      <x:b/>
      <x:sz val="12"/>
    </x:font>
    <x:font>
      <x:b/>
      <x:color rgb="FFFFFFFF"/>
    </x:font>
    <x:font>
      <x:b/>
      <x:sz val="14"/>
    </x:font>
    <x:font>
      <x:b/>
      <x:sz val="13"/>
    </x:font>
    <x:font>
      <x:b/>
    </x:font>
    <x:font>
      <x:b/>
      <x:sz val="11"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</x:fills>
  <x:borders count="19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2" borderId="0" xfId="0"/>
    <x:xf numFmtId="0" fontId="5" fillId="3" borderId="0" xfId="0" applyAlignment="1">
      <x:alignment horizontal="center"/>
    </x:xf>
    <x:xf numFmtId="0" fontId="6" fillId="0" borderId="0" xfId="0"/>
    <x:xf numFmtId="0" fontId="7" fillId="0" borderId="0" xfId="0"/>
    <x:xf numFmtId="0" fontId="0" fillId="4" borderId="0" xfId="0"/>
    <x:xf numFmtId="0" fontId="0" fillId="0" borderId="1" xfId="0"/>
    <x:xf numFmtId="0" fontId="0" fillId="5" borderId="0" xfId="0"/>
    <x:xf numFmtId="0" fontId="0" fillId="6" borderId="0" xfId="0"/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0" borderId="2" xfId="0" applyNumberFormat="1" applyFont="1" applyFill="1" applyBorder="1"/>
    <x:xf numFmtId="0" fontId="4" fillId="2" borderId="2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6" fillId="0" borderId="2" xfId="0" applyNumberFormat="1" applyFont="1" applyFill="1" applyBorder="1"/>
    <x:xf numFmtId="0" fontId="7" fillId="0" borderId="2" xfId="0" applyNumberFormat="1" applyFont="1" applyFill="1" applyBorder="1"/>
    <x:xf numFmtId="0" fontId="0" fillId="4" borderId="2" xfId="0" applyNumberFormat="1" applyFont="1" applyFill="1" applyBorder="1"/>
    <x:xf numFmtId="0" fontId="0" fillId="0" borderId="1" xfId="0" applyNumberFormat="1" applyFont="1" applyFill="1" applyBorder="1"/>
    <x:xf numFmtId="0" fontId="0" fillId="5" borderId="2" xfId="0" applyNumberFormat="1" applyFont="1" applyFill="1" applyBorder="1"/>
    <x:xf numFmtId="0" fontId="0" fillId="6" borderId="2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/>
    <x:xf numFmtId="0" fontId="8" fillId="7" borderId="2" xfId="0" applyNumberFormat="1" applyFont="1" applyFill="1" applyBorder="1"/>
    <x:xf numFmtId="0" fontId="8" fillId="7" borderId="2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horizontal="center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2" fontId="0" fillId="0" borderId="0" xfId="0" applyNumberFormat="1" applyFont="1" applyFill="1" applyBorder="1"/>
    <x:xf numFmtId="202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2" xfId="0" applyNumberFormat="1" applyFont="1" applyFill="1" applyBorder="1"/>
    <x:xf numFmtId="0" fontId="8" fillId="7" borderId="3" xfId="0" applyNumberFormat="1" applyFont="1" applyFill="1" applyBorder="1" applyAlignment="1">
      <x:alignment horizontal="center" vertic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3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8" fillId="7" borderId="9" xfId="0" applyNumberFormat="1" applyFont="1" applyFill="1" applyBorder="1" applyAlignment="1">
      <x:alignment horizontal="center" vertical="center" wrapText="1"/>
    </x:xf>
    <x:xf numFmtId="0" fontId="8" fillId="7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3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8" fillId="7" borderId="1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6" xfId="0" applyNumberFormat="1" applyFont="1" applyFill="1" applyBorder="1"/>
    <x:xf numFmtId="203" fontId="0" fillId="0" borderId="16" xfId="0" applyNumberFormat="1" applyFont="1" applyFill="1" applyBorder="1"/>
    <x:xf numFmtId="0" fontId="8" fillId="7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/>
    <x:xf numFmtId="203" fontId="0" fillId="0" borderId="18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202" fontId="0" fillId="0" borderId="6" xfId="0" applyNumberFormat="1" applyFont="1" applyFill="1" applyBorder="1"/>
    <x:xf numFmtId="201" fontId="0" fillId="0" borderId="8" xfId="0" applyNumberFormat="1" applyFont="1" applyFill="1" applyBorder="1"/>
    <x:xf numFmtId="202" fontId="0" fillId="0" borderId="16" xfId="0" applyNumberFormat="1" applyFont="1" applyFill="1" applyBorder="1"/>
    <x:xf numFmtId="202" fontId="0" fillId="0" borderId="8" xfId="0" applyNumberFormat="1" applyFont="1" applyFill="1" applyBorder="1"/>
  </x:cellXfs>
  <x:cellStyles count="1">
    <x:cellStyle name="Normal" xfId="0"/>
  </x:cellStyles>
  <x:dxfs count="6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9252b63fbf4036" /><Relationship Type="http://schemas.openxmlformats.org/officeDocument/2006/relationships/theme" Target="/xl/theme/theme1.xml" Id="R3cba2ed4a0854e0c" /><Relationship Type="http://schemas.openxmlformats.org/officeDocument/2006/relationships/sharedStrings" Target="/xl/sharedStrings.xml" Id="Rcb2d57a696944a4f" /><Relationship Type="http://schemas.openxmlformats.org/officeDocument/2006/relationships/worksheet" Target="/xl/worksheets/sheet1.xml" Id="R94eef401326244bb" /><Relationship Type="http://schemas.openxmlformats.org/officeDocument/2006/relationships/worksheet" Target="/xl/worksheets/sheet2.xml" Id="R606f57e17fec49a9" /><Relationship Type="http://schemas.openxmlformats.org/officeDocument/2006/relationships/worksheet" Target="/xl/worksheets/sheet3.xml" Id="R107bebe8204f465b" /><Relationship Type="http://schemas.openxmlformats.org/officeDocument/2006/relationships/worksheet" Target="/xl/worksheets/sheet4.xml" Id="R9bbfd73aa089455f" /><Relationship Type="http://schemas.openxmlformats.org/officeDocument/2006/relationships/worksheet" Target="/xl/worksheets/sheet5.xml" Id="R335757105d0d4f3e" /><Relationship Type="http://schemas.openxmlformats.org/officeDocument/2006/relationships/worksheet" Target="/xl/worksheets/sheet6.xml" Id="Refc826a010564dca" /><Relationship Type="http://schemas.openxmlformats.org/officeDocument/2006/relationships/worksheet" Target="/xl/worksheets/sheet7.xml" Id="R537e7076f21e48fb" /></Relationships>
</file>

<file path=xl/tables/table1.xml><?xml version="1.0" encoding="utf-8"?>
<x:table xmlns:x="http://schemas.openxmlformats.org/spreadsheetml/2006/main" id="1" name="CronogramaDataprev" displayName="CronogramaDataprev" ref="A1:K957" headerRowCount="1">
  <x:tableColumns count="11">
    <x:tableColumn id="1" name="Data planejada"/>
    <x:tableColumn id="2" name="Disciplina"/>
    <x:tableColumn id="3" name="Aula / Conteúdo"/>
    <x:tableColumn id="4" name="Tipo"/>
    <x:tableColumn id="5" name="Status"/>
    <x:tableColumn id="6" name="Data de conclusão"/>
    <x:tableColumn id="7" name="Horas gastas"/>
    <x:tableColumn id="8" name="Prioridade"/>
    <x:tableColumn id="9" name="Situação"/>
    <x:tableColumn id="10" name="Dias de atraso"/>
    <x:tableColumn id="11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b1a2130d4946bc" /></Relationships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SISTEMA DE APROVAÇÃO DATAPREV</x:t>
        </x:is>
      </x:c>
    </x:row>
    <x:row r="2">
      <x:c r="A2" s="3" t="inlineStr">
        <x:is>
          <x:t xml:space="preserve">Dashboard Executivo</x:t>
        </x:is>
      </x:c>
    </x:row>
    <x:row r="3"/>
    <x:row r="4">
      <x:c r="A4" s="4" t="inlineStr">
        <x:is>
          <x:t xml:space="preserve">Meta de Aprovação</x:t>
        </x:is>
      </x:c>
      <x:c r="C4" s="4" t="inlineStr">
        <x:is>
          <x:t xml:space="preserve">Dias até a Prova</x:t>
        </x:is>
      </x:c>
      <x:c r="E4" s="4" t="inlineStr">
        <x:is>
          <x:t xml:space="preserve">Horas Estudadas</x:t>
        </x:is>
      </x:c>
      <x:c r="G4" s="4" t="inlineStr">
        <x:is>
          <x:t xml:space="preserve">Questões Resolvidas</x:t>
        </x:is>
      </x:c>
    </x:row>
    <x:row r="5">
      <x:c r="A5" s="5" t="inlineStr">
        <x:is>
          <x:t xml:space="preserve">85%</x:t>
        </x:is>
      </x:c>
      <x:c r="B5" s="48" t="n">
        <x:f>Cronograma!N8</x:f>
        <x:v>0</x:v>
      </x:c>
      <x:c r="C5" s="5" t="inlineStr">
        <x:is>
          <x:t xml:space="preserve"/>
        </x:is>
      </x:c>
      <x:c r="D5" t="n">
        <x:f>MAX(0,DATE(2026,10,11)-TODAY())</x:f>
        <x:v>92</x:v>
      </x:c>
      <x:c r="E5" s="5" t="inlineStr">
        <x:is>
          <x:t xml:space="preserve">0</x:t>
        </x:is>
      </x:c>
      <x:c r="F5" t="n">
        <x:f>SUM(Estudos!D:D)</x:f>
        <x:v>0</x:v>
      </x:c>
      <x:c r="G5" s="5" t="inlineStr">
        <x:is>
          <x:t xml:space="preserve">0</x:t>
        </x:is>
      </x:c>
      <x:c r="H5" t="n">
        <x:f>SUM(Estudos!E:E)</x:f>
        <x:v>0</x:v>
      </x:c>
    </x:row>
    <x:row r="6"/>
    <x:row r="7"/>
    <x:row r="8">
      <x:c r="A8" s="4" t="inlineStr">
        <x:is>
          <x:t xml:space="preserve">Taxa de Acertos</x:t>
        </x:is>
      </x:c>
      <x:c r="C8" s="4" t="inlineStr">
        <x:is>
          <x:t xml:space="preserve">Simulados</x:t>
        </x:is>
      </x:c>
      <x:c r="E8" s="4" t="inlineStr">
        <x:is>
          <x:t xml:space="preserve">Melhor Nota</x:t>
        </x:is>
      </x:c>
      <x:c r="G8" s="4" t="inlineStr">
        <x:is>
          <x:t xml:space="preserve">Disciplina Crítica</x:t>
        </x:is>
      </x:c>
    </x:row>
    <x:row r="9">
      <x:c r="A9" s="5" t="inlineStr">
        <x:is>
          <x:t xml:space="preserve">0%</x:t>
        </x:is>
      </x:c>
      <x:c r="B9" s="48" t="n">
        <x:f>IFERROR(SUM(Estudos!F:F)/SUM(Estudos!E:E),0)</x:f>
        <x:v>0</x:v>
      </x:c>
      <x:c r="C9" s="5" t="inlineStr">
        <x:is>
          <x:t xml:space="preserve">0</x:t>
        </x:is>
      </x:c>
      <x:c r="D9" t="n">
        <x:f>COUNT(Simulados!A:A)</x:f>
        <x:v>0</x:v>
      </x:c>
      <x:c r="E9" s="5" t="inlineStr">
        <x:is>
          <x:t xml:space="preserve">0%</x:t>
        </x:is>
      </x:c>
      <x:c r="F9" s="48" t="n">
        <x:f>IFERROR(MAX(Simulados!J:J),0)</x:f>
        <x:v>0</x:v>
      </x:c>
      <x:c r="G9" s="5" t="inlineStr">
        <x:is>
          <x:t xml:space="preserve">-</x:t>
        </x:is>
      </x:c>
    </x:row>
    <x:row r="10"/>
    <x:row r="11"/>
    <x:row r="12"/>
    <x:row r="13">
      <x:c r="A13" s="6" t="inlineStr">
        <x:is>
          <x:t xml:space="preserve">Indicadores Semanais</x:t>
        </x:is>
      </x:c>
      <x:c r="F13" s="7" t="inlineStr">
        <x:is>
          <x:t xml:space="preserve">Legenda</x:t>
        </x:is>
      </x:c>
    </x:row>
    <x:row r="14">
      <x:c r="A14" s="4" t="inlineStr">
        <x:is>
          <x:t xml:space="preserve">Indicador</x:t>
        </x:is>
      </x:c>
      <x:c r="B14" s="4" t="inlineStr">
        <x:is>
          <x:t xml:space="preserve">Meta</x:t>
        </x:is>
      </x:c>
      <x:c r="C14" s="4" t="inlineStr">
        <x:is>
          <x:t xml:space="preserve">Atual</x:t>
        </x:is>
      </x:c>
      <x:c r="D14" s="4" t="inlineStr">
        <x:is>
          <x:t xml:space="preserve">Status</x:t>
        </x:is>
      </x:c>
      <x:c r="F14" s="8" t="inlineStr">
        <x:is>
          <x:t xml:space="preserve">Verde</x:t>
        </x:is>
      </x:c>
      <x:c r="G14" t="inlineStr">
        <x:is>
          <x:t xml:space="preserve">Meta atingida</x:t>
        </x:is>
      </x:c>
    </x:row>
    <x:row r="15">
      <x:c r="A15" s="9" t="inlineStr">
        <x:is>
          <x:t xml:space="preserve">Horas estudadas</x:t>
        </x:is>
      </x:c>
      <x:c r="B15" s="9" t="n">
        <x:v>15</x:v>
      </x:c>
      <x:c r="C15" s="9" t="inlineStr">
        <x:is>
          <x:t xml:space="preserve"/>
        </x:is>
      </x:c>
      <x:c r="D15" s="9" t="inlineStr">
        <x:is>
          <x:t xml:space="preserve"/>
        </x:is>
      </x:c>
      <x:c r="F15" s="10" t="inlineStr">
        <x:is>
          <x:t xml:space="preserve">Amarelo</x:t>
        </x:is>
      </x:c>
      <x:c r="G15" t="inlineStr">
        <x:is>
          <x:t xml:space="preserve">Atenção</x:t>
        </x:is>
      </x:c>
    </x:row>
    <x:row r="16">
      <x:c r="A16" s="9" t="inlineStr">
        <x:is>
          <x:t xml:space="preserve">Questões resolvidas</x:t>
        </x:is>
      </x:c>
      <x:c r="B16" s="9" t="n">
        <x:v>300</x:v>
      </x:c>
      <x:c r="C16" s="9" t="inlineStr">
        <x:is>
          <x:t xml:space="preserve"/>
        </x:is>
      </x:c>
      <x:c r="D16" s="9" t="inlineStr">
        <x:is>
          <x:t xml:space="preserve"/>
        </x:is>
      </x:c>
      <x:c r="F16" s="11" t="inlineStr">
        <x:is>
          <x:t xml:space="preserve">Vermelho</x:t>
        </x:is>
      </x:c>
      <x:c r="G16" t="inlineStr">
        <x:is>
          <x:t xml:space="preserve">Abaixo da meta</x:t>
        </x:is>
      </x:c>
    </x:row>
    <x:row r="17">
      <x:c r="A17" s="9" t="inlineStr">
        <x:is>
          <x:t xml:space="preserve">Videoaulas concluídas</x:t>
        </x:is>
      </x:c>
      <x:c r="B17" s="9" t="n">
        <x:v>20</x:v>
      </x:c>
      <x:c r="C17" s="9" t="inlineStr">
        <x:is>
          <x:t xml:space="preserve"/>
        </x:is>
      </x:c>
      <x:c r="D17" s="9" t="inlineStr">
        <x:is>
          <x:t xml:space="preserve"/>
        </x:is>
      </x:c>
    </x:row>
    <x:row r="18">
      <x:c r="A18" s="9" t="inlineStr">
        <x:is>
          <x:t xml:space="preserve">PDFs concluídos</x:t>
        </x:is>
      </x:c>
      <x:c r="B18" s="9" t="n">
        <x:v>10</x:v>
      </x:c>
      <x:c r="C18" s="9" t="inlineStr">
        <x:is>
          <x:t xml:space="preserve"/>
        </x:is>
      </x:c>
      <x:c r="D18" s="9" t="inlineStr">
        <x:is>
          <x:t xml:space="preserve"/>
        </x:is>
      </x:c>
    </x:row>
    <x:row r="19">
      <x:c r="A19" s="9" t="inlineStr">
        <x:is>
          <x:t xml:space="preserve">Revisões realizadas</x:t>
        </x:is>
      </x:c>
      <x:c r="B19" s="9" t="n">
        <x:v>7</x:v>
      </x:c>
      <x:c r="C19" s="9" t="inlineStr">
        <x:is>
          <x:t xml:space="preserve"/>
        </x:is>
      </x:c>
      <x:c r="D19" s="9" t="inlineStr">
        <x:is>
          <x:t xml:space="preserve"/>
        </x:is>
      </x:c>
    </x:row>
    <x:row r="20">
      <x:c r="A20" s="9" t="inlineStr">
        <x:is>
          <x:t xml:space="preserve">Simulados</x:t>
        </x:is>
      </x:c>
      <x:c r="B20" s="9" t="n">
        <x:v>1</x:v>
      </x:c>
      <x:c r="C20" s="9" t="inlineStr">
        <x:is>
          <x:t xml:space="preserve"/>
        </x:is>
      </x:c>
      <x:c r="D20" s="9" t="inlineStr">
        <x:is>
          <x:t xml:space="preserve"/>
        </x:is>
      </x:c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30" hidden="0" customWidth="1"/>
    <x:col min="3" max="3" width="58" hidden="0" customWidth="1"/>
    <x:col min="4" max="4" width="14" hidden="0" customWidth="1"/>
    <x:col min="5" max="5" width="16" hidden="0" customWidth="1"/>
    <x:col min="6" max="6" width="16" hidden="0" customWidth="1"/>
    <x:col min="7" max="7" width="13" hidden="0" customWidth="1"/>
    <x:col min="8" max="8" width="12" hidden="0" customWidth="1"/>
    <x:col min="9" max="9" width="12" hidden="0" customWidth="1"/>
    <x:col min="10" max="10" width="13" hidden="0" customWidth="1"/>
    <x:col min="11" max="11" width="34" hidden="0" customWidth="1"/>
    <x:col min="13" max="13" width="23" hidden="0" customWidth="1"/>
    <x:col min="14" max="14" width="16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>
      <x:c r="A1" s="28" t="str">
        <x:v>Data planejada</x:v>
      </x:c>
      <x:c r="B1" s="28" t="str">
        <x:v>Disciplina</x:v>
      </x:c>
      <x:c r="C1" s="28" t="str">
        <x:v>Aula / Conteúdo</x:v>
      </x:c>
      <x:c r="D1" s="28" t="str">
        <x:v>Tipo</x:v>
      </x:c>
      <x:c r="E1" s="28" t="str">
        <x:v>Status</x:v>
      </x:c>
      <x:c r="F1" s="28" t="str">
        <x:v>Data de conclusão</x:v>
      </x:c>
      <x:c r="G1" s="28" t="str">
        <x:v>Horas gastas</x:v>
      </x:c>
      <x:c r="H1" s="28" t="str">
        <x:v>Prioridade</x:v>
      </x:c>
      <x:c r="I1" s="28" t="str">
        <x:v>Situação</x:v>
      </x:c>
      <x:c r="J1" s="28" t="str">
        <x:v>Dias de atraso</x:v>
      </x:c>
      <x:c r="K1" s="28" t="str">
        <x:v>Observações</x:v>
      </x:c>
      <x:c r="M1" s="28" t="str">
        <x:v>RESUMO DO CRONOGRAMA</x:v>
      </x:c>
      <x:c r="N1" s="28"/>
      <x:c r="O1" s="28"/>
      <x:c r="P1" s="28"/>
      <x:c r="Q1" s="28"/>
    </x:row>
    <x:row r="2">
      <x:c r="A2" s="34" t="n">
        <x:v>46214</x:v>
      </x:c>
      <x:c r="B2" s="40" t="str">
        <x:v>Língua Portuguesa</x:v>
      </x:c>
      <x:c r="C2" s="40" t="str">
        <x:v>1 - Apresentação</x:v>
      </x:c>
      <x:c r="D2" s="40" t="str">
        <x:v>Videoaula</x:v>
      </x:c>
      <x:c r="E2" s="40" t="str">
        <x:v>Não iniciado</x:v>
      </x:c>
      <x:c r="F2" s="41" t="str"/>
      <x:c r="G2" s="42" t="str"/>
      <x:c r="H2" s="40" t="str">
        <x:v>Normal</x:v>
      </x:c>
      <x:c r="I2" s="40" t="str">
        <x:f>IF(E2="Concluído","Concluído",IF(A2&lt;TODAY(),"Atrasado",IF(A2=TODAY(),"Hoje","Futuro")))</x:f>
        <x:v>Hoje</x:v>
      </x:c>
      <x:c r="J2" s="43" t="n">
        <x:f>IF(OR(E2="Concluído",A2&gt;=TODAY()),0,TODAY()-A2)</x:f>
        <x:v>0</x:v>
      </x:c>
      <x:c r="K2" s="40" t="str"/>
      <x:c r="M2" s="50" t="str">
        <x:v>Indicador</x:v>
      </x:c>
      <x:c r="N2" s="51" t="str">
        <x:v>Valor</x:v>
      </x:c>
    </x:row>
    <x:row r="3">
      <x:c r="A3" s="34" t="n">
        <x:v>46214</x:v>
      </x:c>
      <x:c r="B3" s="40" t="str">
        <x:v>Língua Portuguesa</x:v>
      </x:c>
      <x:c r="C3" s="40" t="str">
        <x:v>1 - Interpretação e Compreensão de Texto</x:v>
      </x:c>
      <x:c r="D3" s="40" t="str">
        <x:v>Videoaula</x:v>
      </x:c>
      <x:c r="E3" s="40" t="str">
        <x:v>Não iniciado</x:v>
      </x:c>
      <x:c r="F3" s="41" t="str"/>
      <x:c r="G3" s="42" t="str"/>
      <x:c r="H3" s="40" t="str">
        <x:v>Normal</x:v>
      </x:c>
      <x:c r="I3" s="40" t="str">
        <x:f>IF(E3="Concluído","Concluído",IF(A3&lt;TODAY(),"Atrasado",IF(A3=TODAY(),"Hoje","Futuro")))</x:f>
        <x:v>Hoje</x:v>
      </x:c>
      <x:c r="J3" s="43" t="n">
        <x:f>IF(OR(E3="Concluído",A3&gt;=TODAY()),0,TODAY()-A3)</x:f>
        <x:v>0</x:v>
      </x:c>
      <x:c r="K3" s="40" t="str"/>
      <x:c r="M3" s="52" t="str">
        <x:v>Total de atividades</x:v>
      </x:c>
      <x:c r="N3" s="86" t="n">
        <x:f>COUNTA(C2:C957)</x:f>
        <x:v>956</x:v>
      </x:c>
    </x:row>
    <x:row r="4">
      <x:c r="A4" s="34" t="n">
        <x:v>46214</x:v>
      </x:c>
      <x:c r="B4" s="40" t="str">
        <x:v>Língua Inglesa</x:v>
      </x:c>
      <x:c r="C4" s="40" t="str">
        <x:v>1 - Apresentação</x:v>
      </x:c>
      <x:c r="D4" s="40" t="str">
        <x:v>Videoaula</x:v>
      </x:c>
      <x:c r="E4" s="40" t="str">
        <x:v>Não iniciado</x:v>
      </x:c>
      <x:c r="F4" s="41" t="str"/>
      <x:c r="G4" s="42" t="str"/>
      <x:c r="H4" s="40" t="str">
        <x:v>Normal</x:v>
      </x:c>
      <x:c r="I4" s="40" t="str">
        <x:f>IF(E4="Concluído","Concluído",IF(A4&lt;TODAY(),"Atrasado",IF(A4=TODAY(),"Hoje","Futuro")))</x:f>
        <x:v>Hoje</x:v>
      </x:c>
      <x:c r="J4" s="43" t="n">
        <x:f>IF(OR(E4="Concluído",A4&gt;=TODAY()),0,TODAY()-A4)</x:f>
        <x:v>0</x:v>
      </x:c>
      <x:c r="K4" s="40" t="str"/>
      <x:c r="M4" s="52" t="str">
        <x:v>Concluídas</x:v>
      </x:c>
      <x:c r="N4" s="86" t="n">
        <x:f>COUNTIF(E2:E957,"Concluído")</x:f>
        <x:v>0</x:v>
      </x:c>
    </x:row>
    <x:row r="5">
      <x:c r="A5" s="34" t="n">
        <x:v>46214</x:v>
      </x:c>
      <x:c r="B5" s="40" t="str">
        <x:v>Língua Inglesa</x:v>
      </x:c>
      <x:c r="C5" s="40" t="str">
        <x:v>1 - Língua Inglesa - Coworking - Sharing How We Work</x:v>
      </x:c>
      <x:c r="D5" s="40" t="str">
        <x:v>Videoaula</x:v>
      </x:c>
      <x:c r="E5" s="40" t="str">
        <x:v>Não iniciado</x:v>
      </x:c>
      <x:c r="F5" s="41" t="str"/>
      <x:c r="G5" s="42" t="str"/>
      <x:c r="H5" s="40" t="str">
        <x:v>Normal</x:v>
      </x:c>
      <x:c r="I5" s="40" t="str">
        <x:f>IF(E5="Concluído","Concluído",IF(A5&lt;TODAY(),"Atrasado",IF(A5=TODAY(),"Hoje","Futuro")))</x:f>
        <x:v>Hoje</x:v>
      </x:c>
      <x:c r="J5" s="43" t="n">
        <x:f>IF(OR(E5="Concluído",A5&gt;=TODAY()),0,TODAY()-A5)</x:f>
        <x:v>0</x:v>
      </x:c>
      <x:c r="K5" s="40" t="str"/>
      <x:c r="M5" s="52" t="str">
        <x:v>Em andamento</x:v>
      </x:c>
      <x:c r="N5" s="86" t="n">
        <x:f>COUNTIF(E2:E957,"Em andamento")</x:f>
        <x:v>0</x:v>
      </x:c>
    </x:row>
    <x:row r="6">
      <x:c r="A6" s="34" t="n">
        <x:v>46215</x:v>
      </x:c>
      <x:c r="B6" s="40" t="str">
        <x:v>Língua Inglesa</x:v>
      </x:c>
      <x:c r="C6" s="40" t="str">
        <x:v>1 - Língua Inglesa - Coworking - Sharing How We Work</x:v>
      </x:c>
      <x:c r="D6" s="40" t="str">
        <x:v>Videoaula</x:v>
      </x:c>
      <x:c r="E6" s="40" t="str">
        <x:v>Não iniciado</x:v>
      </x:c>
      <x:c r="F6" s="41" t="str"/>
      <x:c r="G6" s="42" t="str"/>
      <x:c r="H6" s="40" t="str">
        <x:v>Normal</x:v>
      </x:c>
      <x:c r="I6" s="40" t="str">
        <x:f>IF(E6="Concluído","Concluído",IF(A6&lt;TODAY(),"Atrasado",IF(A6=TODAY(),"Hoje","Futuro")))</x:f>
        <x:v>Futuro</x:v>
      </x:c>
      <x:c r="J6" s="43" t="n">
        <x:f>IF(OR(E6="Concluído",A6&gt;=TODAY()),0,TODAY()-A6)</x:f>
        <x:v>0</x:v>
      </x:c>
      <x:c r="K6" s="40" t="str"/>
      <x:c r="M6" s="52" t="str">
        <x:v>Não iniciadas</x:v>
      </x:c>
      <x:c r="N6" s="86" t="n">
        <x:f>COUNTIF(E2:E957,"Não iniciado")</x:f>
        <x:v>956</x:v>
      </x:c>
    </x:row>
    <x:row r="7">
      <x:c r="A7" s="34" t="n">
        <x:v>46215</x:v>
      </x:c>
      <x:c r="B7" s="40" t="str">
        <x:v>Raciocínio Lógico</x:v>
      </x:c>
      <x:c r="C7" s="40" t="str">
        <x:v>1 - Apresentação</x:v>
      </x:c>
      <x:c r="D7" s="40" t="str">
        <x:v>Videoaula</x:v>
      </x:c>
      <x:c r="E7" s="40" t="str">
        <x:v>Não iniciado</x:v>
      </x:c>
      <x:c r="F7" s="41" t="str"/>
      <x:c r="G7" s="42" t="str"/>
      <x:c r="H7" s="40" t="str">
        <x:v>Normal</x:v>
      </x:c>
      <x:c r="I7" s="40" t="str">
        <x:f>IF(E7="Concluído","Concluído",IF(A7&lt;TODAY(),"Atrasado",IF(A7=TODAY(),"Hoje","Futuro")))</x:f>
        <x:v>Futuro</x:v>
      </x:c>
      <x:c r="J7" s="43" t="n">
        <x:f>IF(OR(E7="Concluído",A7&gt;=TODAY()),0,TODAY()-A7)</x:f>
        <x:v>0</x:v>
      </x:c>
      <x:c r="K7" s="40" t="str"/>
      <x:c r="M7" s="52" t="str">
        <x:v>Atrasadas</x:v>
      </x:c>
      <x:c r="N7" s="86" t="n">
        <x:f>COUNTIF(I2:I957,"Atrasado")</x:f>
        <x:v>0</x:v>
      </x:c>
    </x:row>
    <x:row r="8">
      <x:c r="A8" s="34" t="n">
        <x:v>46215</x:v>
      </x:c>
      <x:c r="B8" s="40" t="str">
        <x:v>Raciocínio Lógico</x:v>
      </x:c>
      <x:c r="C8" s="40" t="str">
        <x:v>1 - Conceitos Iniciais: Proposição lógica</x:v>
      </x:c>
      <x:c r="D8" s="40" t="str">
        <x:v>Videoaula</x:v>
      </x:c>
      <x:c r="E8" s="40" t="str">
        <x:v>Não iniciado</x:v>
      </x:c>
      <x:c r="F8" s="41" t="str"/>
      <x:c r="G8" s="42" t="str"/>
      <x:c r="H8" s="40" t="str">
        <x:v>Normal</x:v>
      </x:c>
      <x:c r="I8" s="40" t="str">
        <x:f>IF(E8="Concluído","Concluído",IF(A8&lt;TODAY(),"Atrasado",IF(A8=TODAY(),"Hoje","Futuro")))</x:f>
        <x:v>Futuro</x:v>
      </x:c>
      <x:c r="J8" s="43" t="n">
        <x:f>IF(OR(E8="Concluído",A8&gt;=TODAY()),0,TODAY()-A8)</x:f>
        <x:v>0</x:v>
      </x:c>
      <x:c r="K8" s="40" t="str"/>
      <x:c r="M8" s="52" t="str">
        <x:v>Progresso geral</x:v>
      </x:c>
      <x:c r="N8" s="54" t="n">
        <x:f>IF(N3=0,0,N4/N3)</x:f>
        <x:v>0</x:v>
      </x:c>
    </x:row>
    <x:row r="9">
      <x:c r="A9" s="34" t="n">
        <x:v>46215</x:v>
      </x:c>
      <x:c r="B9" s="40" t="str">
        <x:v>Atualidades e Inteligência Artificial</x:v>
      </x:c>
      <x:c r="C9" s="40" t="str">
        <x:v>1 - Apresentação</x:v>
      </x:c>
      <x:c r="D9" s="40" t="str">
        <x:v>Videoaula</x:v>
      </x:c>
      <x:c r="E9" s="40" t="str">
        <x:v>Não iniciado</x:v>
      </x:c>
      <x:c r="F9" s="41" t="str"/>
      <x:c r="G9" s="42" t="str"/>
      <x:c r="H9" s="40" t="str">
        <x:v>Normal</x:v>
      </x:c>
      <x:c r="I9" s="40" t="str">
        <x:f>IF(E9="Concluído","Concluído",IF(A9&lt;TODAY(),"Atrasado",IF(A9=TODAY(),"Hoje","Futuro")))</x:f>
        <x:v>Futuro</x:v>
      </x:c>
      <x:c r="J9" s="43" t="n">
        <x:f>IF(OR(E9="Concluído",A9&gt;=TODAY()),0,TODAY()-A9)</x:f>
        <x:v>0</x:v>
      </x:c>
      <x:c r="K9" s="40" t="str"/>
      <x:c r="M9" s="55" t="str">
        <x:v>Horas registradas</x:v>
      </x:c>
      <x:c r="N9" s="87" t="n">
        <x:f>SUM(G2:G957)</x:f>
        <x:v>0</x:v>
      </x:c>
    </x:row>
    <x:row r="10">
      <x:c r="A10" s="34" t="n">
        <x:v>46215</x:v>
      </x:c>
      <x:c r="B10" s="40" t="str">
        <x:v>Revisão</x:v>
      </x:c>
      <x:c r="C10" s="40" t="str">
        <x:v>Revisão</x:v>
      </x:c>
      <x:c r="D10" s="40" t="str">
        <x:v>Revisao</x:v>
      </x:c>
      <x:c r="E10" s="40" t="str">
        <x:v>Não iniciado</x:v>
      </x:c>
      <x:c r="F10" s="41" t="str"/>
      <x:c r="G10" s="42" t="str"/>
      <x:c r="H10" s="40" t="str">
        <x:v>Normal</x:v>
      </x:c>
      <x:c r="I10" s="40" t="str">
        <x:f>IF(E10="Concluído","Concluído",IF(A10&lt;TODAY(),"Atrasado",IF(A10=TODAY(),"Hoje","Futuro")))</x:f>
        <x:v>Futuro</x:v>
      </x:c>
      <x:c r="J10" s="43" t="n">
        <x:f>IF(OR(E10="Concluído",A10&gt;=TODAY()),0,TODAY()-A10)</x:f>
        <x:v>0</x:v>
      </x:c>
      <x:c r="K10" s="40" t="str"/>
    </x:row>
    <x:row r="11">
      <x:c r="A11" s="34" t="n">
        <x:v>46216</x:v>
      </x:c>
      <x:c r="B11" s="40" t="str">
        <x:v>Atualidades e Inteligência Artificial</x:v>
      </x:c>
      <x:c r="C11" s="40" t="str">
        <x:v>1 - Apresentação</x:v>
      </x:c>
      <x:c r="D11" s="40" t="str">
        <x:v>Videoaula</x:v>
      </x:c>
      <x:c r="E11" s="40" t="str">
        <x:v>Não iniciado</x:v>
      </x:c>
      <x:c r="F11" s="41" t="str"/>
      <x:c r="G11" s="42" t="str"/>
      <x:c r="H11" s="40" t="str">
        <x:v>Normal</x:v>
      </x:c>
      <x:c r="I11" s="40" t="str">
        <x:f>IF(E11="Concluído","Concluído",IF(A11&lt;TODAY(),"Atrasado",IF(A11=TODAY(),"Hoje","Futuro")))</x:f>
        <x:v>Futuro</x:v>
      </x:c>
      <x:c r="J11" s="43" t="n">
        <x:f>IF(OR(E11="Concluído",A11&gt;=TODAY()),0,TODAY()-A11)</x:f>
        <x:v>0</x:v>
      </x:c>
      <x:c r="K11" s="40" t="str"/>
      <x:c r="M11" s="50" t="str">
        <x:v>Mês</x:v>
      </x:c>
      <x:c r="N11" s="64" t="str">
        <x:v>Total</x:v>
      </x:c>
      <x:c r="O11" s="64" t="str">
        <x:v>Concluídas</x:v>
      </x:c>
      <x:c r="P11" s="64" t="str">
        <x:v>Progresso</x:v>
      </x:c>
      <x:c r="Q11" s="51" t="str">
        <x:v>Atrasadas</x:v>
      </x:c>
    </x:row>
    <x:row r="12">
      <x:c r="A12" s="34" t="n">
        <x:v>46216</x:v>
      </x:c>
      <x:c r="B12" s="40" t="str">
        <x:v>Atualidades e Inteligência Artificial</x:v>
      </x:c>
      <x:c r="C12" s="40" t="str">
        <x:v>1 - Meios de Transportes</x:v>
      </x:c>
      <x:c r="D12" s="40" t="str">
        <x:v>Videoaula</x:v>
      </x:c>
      <x:c r="E12" s="40" t="str">
        <x:v>Não iniciado</x:v>
      </x:c>
      <x:c r="F12" s="41" t="str"/>
      <x:c r="G12" s="42" t="str"/>
      <x:c r="H12" s="40" t="str">
        <x:v>Normal</x:v>
      </x:c>
      <x:c r="I12" s="40" t="str">
        <x:f>IF(E12="Concluído","Concluído",IF(A12&lt;TODAY(),"Atrasado",IF(A12=TODAY(),"Hoje","Futuro")))</x:f>
        <x:v>Futuro</x:v>
      </x:c>
      <x:c r="J12" s="43" t="n">
        <x:f>IF(OR(E12="Concluído",A12&gt;=TODAY()),0,TODAY()-A12)</x:f>
        <x:v>0</x:v>
      </x:c>
      <x:c r="K12" s="40" t="str"/>
      <x:c r="M12" s="52" t="str">
        <x:v>Julho</x:v>
      </x:c>
      <x:c r="N12" s="38" t="n">
        <x:f>COUNTIFS(A2:A957,"&gt;="&amp;DATE(2026,7,1),A2:A957,"&lt;"&amp;DATE(2026,8,1))</x:f>
        <x:v>72</x:v>
      </x:c>
      <x:c r="O12" s="38" t="n">
        <x:f>COUNTIFS(A2:A957,"&gt;="&amp;DATE(2026,7,1),A2:A957,"&lt;"&amp;DATE(2026,8,1),E2:E957,"Concluído")</x:f>
        <x:v>0</x:v>
      </x:c>
      <x:c r="P12" s="48" t="n">
        <x:f>IF(N12=0,0,O12/N12)</x:f>
        <x:v>0</x:v>
      </x:c>
      <x:c r="Q12" s="86" t="n">
        <x:f>COUNTIFS(A2:A957,"&gt;="&amp;DATE(2026,7,1),A2:A957,"&lt;"&amp;DATE(2026,8,1),I2:I957,"Atrasado")</x:f>
        <x:v>0</x:v>
      </x:c>
    </x:row>
    <x:row r="13">
      <x:c r="A13" s="34" t="n">
        <x:v>46216</x:v>
      </x:c>
      <x:c r="B13" s="40" t="str">
        <x:v>Legislação Acerca de Segurança da Informação e Proteção de Dados</x:v>
      </x:c>
      <x:c r="C13" s="40" t="str">
        <x:v>1 - Lei nº 12.527/2011 - Lei de Acesso à Informação - Introdução</x:v>
      </x:c>
      <x:c r="D13" s="40" t="str">
        <x:v>Videoaula</x:v>
      </x:c>
      <x:c r="E13" s="40" t="str">
        <x:v>Não iniciado</x:v>
      </x:c>
      <x:c r="F13" s="41" t="str"/>
      <x:c r="G13" s="42" t="str"/>
      <x:c r="H13" s="40" t="str">
        <x:v>Normal</x:v>
      </x:c>
      <x:c r="I13" s="40" t="str">
        <x:f>IF(E13="Concluído","Concluído",IF(A13&lt;TODAY(),"Atrasado",IF(A13=TODAY(),"Hoje","Futuro")))</x:f>
        <x:v>Futuro</x:v>
      </x:c>
      <x:c r="J13" s="43" t="n">
        <x:f>IF(OR(E13="Concluído",A13&gt;=TODAY()),0,TODAY()-A13)</x:f>
        <x:v>0</x:v>
      </x:c>
      <x:c r="K13" s="40" t="str"/>
      <x:c r="M13" s="52" t="str">
        <x:v>Agosto</x:v>
      </x:c>
      <x:c r="N13" s="38" t="n">
        <x:f>COUNTIFS(A2:A957,"&gt;="&amp;DATE(2026,8,1),A2:A957,"&lt;"&amp;DATE(2026,9,1))</x:f>
        <x:v>121</x:v>
      </x:c>
      <x:c r="O13" s="38" t="n">
        <x:f>COUNTIFS(A2:A957,"&gt;="&amp;DATE(2026,8,1),A2:A957,"&lt;"&amp;DATE(2026,9,1),E2:E957,"Concluído")</x:f>
        <x:v>0</x:v>
      </x:c>
      <x:c r="P13" s="48" t="n">
        <x:f>IF(N13=0,0,O13/N13)</x:f>
        <x:v>0</x:v>
      </x:c>
      <x:c r="Q13" s="86" t="n">
        <x:f>COUNTIFS(A2:A957,"&gt;="&amp;DATE(2026,8,1),A2:A957,"&lt;"&amp;DATE(2026,9,1),I2:I957,"Atrasado")</x:f>
        <x:v>0</x:v>
      </x:c>
    </x:row>
    <x:row r="14">
      <x:c r="A14" s="34" t="n">
        <x:v>46216</x:v>
      </x:c>
      <x:c r="B14" s="40" t="str">
        <x:v>Legislação Acerca de Segurança da Informação e Proteção de Dados</x:v>
      </x:c>
      <x:c r="C14" s="40" t="str">
        <x:v>2 - Lei nº 12.527/2011 - Lei de Acesso à Informação - Conceitos Importantes</x:v>
      </x:c>
      <x:c r="D14" s="40" t="str">
        <x:v>Videoaula</x:v>
      </x:c>
      <x:c r="E14" s="40" t="str">
        <x:v>Não iniciado</x:v>
      </x:c>
      <x:c r="F14" s="41" t="str"/>
      <x:c r="G14" s="42" t="str"/>
      <x:c r="H14" s="40" t="str">
        <x:v>Normal</x:v>
      </x:c>
      <x:c r="I14" s="40" t="str">
        <x:f>IF(E14="Concluído","Concluído",IF(A14&lt;TODAY(),"Atrasado",IF(A14=TODAY(),"Hoje","Futuro")))</x:f>
        <x:v>Futuro</x:v>
      </x:c>
      <x:c r="J14" s="43" t="n">
        <x:f>IF(OR(E14="Concluído",A14&gt;=TODAY()),0,TODAY()-A14)</x:f>
        <x:v>0</x:v>
      </x:c>
      <x:c r="K14" s="40" t="str"/>
      <x:c r="M14" s="52" t="str">
        <x:v>Setembro</x:v>
      </x:c>
      <x:c r="N14" s="38" t="n">
        <x:f>COUNTIFS(A2:A957,"&gt;="&amp;DATE(2026,9,1),A2:A957,"&lt;"&amp;DATE(2026,10,1))</x:f>
        <x:v>123</x:v>
      </x:c>
      <x:c r="O14" s="38" t="n">
        <x:f>COUNTIFS(A2:A957,"&gt;="&amp;DATE(2026,9,1),A2:A957,"&lt;"&amp;DATE(2026,10,1),E2:E957,"Concluído")</x:f>
        <x:v>0</x:v>
      </x:c>
      <x:c r="P14" s="48" t="n">
        <x:f>IF(N14=0,0,O14/N14)</x:f>
        <x:v>0</x:v>
      </x:c>
      <x:c r="Q14" s="86" t="n">
        <x:f>COUNTIFS(A2:A957,"&gt;="&amp;DATE(2026,9,1),A2:A957,"&lt;"&amp;DATE(2026,10,1),I2:I957,"Atrasado")</x:f>
        <x:v>0</x:v>
      </x:c>
    </x:row>
    <x:row r="15">
      <x:c r="A15" s="34" t="n">
        <x:v>46216</x:v>
      </x:c>
      <x:c r="B15" s="40" t="str">
        <x:v>Apresentação de Curso - Conhecimentos Específicos</x:v>
      </x:c>
      <x:c r="C15" s="40" t="str">
        <x:v>1 - Perfil 6: Gestão de Serviços de TIC com Vitor Kessler</x:v>
      </x:c>
      <x:c r="D15" s="40" t="str">
        <x:v>Videoaula</x:v>
      </x:c>
      <x:c r="E15" s="40" t="str">
        <x:v>Não iniciado</x:v>
      </x:c>
      <x:c r="F15" s="41" t="str"/>
      <x:c r="G15" s="42" t="str"/>
      <x:c r="H15" s="40" t="str">
        <x:v>Normal</x:v>
      </x:c>
      <x:c r="I15" s="40" t="str">
        <x:f>IF(E15="Concluído","Concluído",IF(A15&lt;TODAY(),"Atrasado",IF(A15=TODAY(),"Hoje","Futuro")))</x:f>
        <x:v>Futuro</x:v>
      </x:c>
      <x:c r="J15" s="43" t="n">
        <x:f>IF(OR(E15="Concluído",A15&gt;=TODAY()),0,TODAY()-A15)</x:f>
        <x:v>0</x:v>
      </x:c>
      <x:c r="K15" s="40" t="str"/>
      <x:c r="M15" s="52" t="str">
        <x:v>Outubro</x:v>
      </x:c>
      <x:c r="N15" s="38" t="n">
        <x:f>COUNTIFS(A2:A957,"&gt;="&amp;DATE(2026,10,1),A2:A957,"&lt;"&amp;DATE(2026,11,1))</x:f>
        <x:v>132</x:v>
      </x:c>
      <x:c r="O15" s="38" t="n">
        <x:f>COUNTIFS(A2:A957,"&gt;="&amp;DATE(2026,10,1),A2:A957,"&lt;"&amp;DATE(2026,11,1),E2:E957,"Concluído")</x:f>
        <x:v>0</x:v>
      </x:c>
      <x:c r="P15" s="48" t="n">
        <x:f>IF(N15=0,0,O15/N15)</x:f>
        <x:v>0</x:v>
      </x:c>
      <x:c r="Q15" s="86" t="n">
        <x:f>COUNTIFS(A2:A957,"&gt;="&amp;DATE(2026,10,1),A2:A957,"&lt;"&amp;DATE(2026,11,1),I2:I957,"Atrasado")</x:f>
        <x:v>0</x:v>
      </x:c>
    </x:row>
    <x:row r="16">
      <x:c r="A16" s="34" t="n">
        <x:v>46216</x:v>
      </x:c>
      <x:c r="B16" s="40" t="str">
        <x:v>Gestão e Governança de Tecnologia da Informação</x:v>
      </x:c>
      <x:c r="C16" s="40" t="str">
        <x:v>1 - Em breve! (Conteúdo em análise | definição | produção)</x:v>
      </x:c>
      <x:c r="D16" s="40" t="str">
        <x:v>Videoaula</x:v>
      </x:c>
      <x:c r="E16" s="40" t="str">
        <x:v>Não iniciado</x:v>
      </x:c>
      <x:c r="F16" s="41" t="str"/>
      <x:c r="G16" s="42" t="str"/>
      <x:c r="H16" s="40" t="str">
        <x:v>Normal</x:v>
      </x:c>
      <x:c r="I16" s="40" t="str">
        <x:f>IF(E16="Concluído","Concluído",IF(A16&lt;TODAY(),"Atrasado",IF(A16=TODAY(),"Hoje","Futuro")))</x:f>
        <x:v>Futuro</x:v>
      </x:c>
      <x:c r="J16" s="43" t="n">
        <x:f>IF(OR(E16="Concluído",A16&gt;=TODAY()),0,TODAY()-A16)</x:f>
        <x:v>0</x:v>
      </x:c>
      <x:c r="K16" s="40" t="str"/>
      <x:c r="M16" s="55" t="str">
        <x:v>Novembro</x:v>
      </x:c>
      <x:c r="N16" s="88" t="n">
        <x:f>COUNTIFS(A2:A957,"&gt;="&amp;DATE(2026,11,1),A2:A957,"&lt;"&amp;DATE(2026,12,1))</x:f>
        <x:v>131</x:v>
      </x:c>
      <x:c r="O16" s="88" t="n">
        <x:f>COUNTIFS(A2:A957,"&gt;="&amp;DATE(2026,11,1),A2:A957,"&lt;"&amp;DATE(2026,12,1),E2:E957,"Concluído")</x:f>
        <x:v>0</x:v>
      </x:c>
      <x:c r="P16" s="67" t="n">
        <x:f>IF(N16=0,0,O16/N16)</x:f>
        <x:v>0</x:v>
      </x:c>
      <x:c r="Q16" s="89" t="n">
        <x:f>COUNTIFS(A2:A957,"&gt;="&amp;DATE(2026,11,1),A2:A957,"&lt;"&amp;DATE(2026,12,1),I2:I957,"Atrasado")</x:f>
        <x:v>0</x:v>
      </x:c>
    </x:row>
    <x:row r="17">
      <x:c r="A17" s="34" t="n">
        <x:v>46217</x:v>
      </x:c>
      <x:c r="B17" s="40" t="str">
        <x:v>Gestão e Governança de Tecnologia da Informação</x:v>
      </x:c>
      <x:c r="C17" s="40" t="str">
        <x:v>1 - Em breve! (Conteúdo em análise | definição | produção)</x:v>
      </x:c>
      <x:c r="D17" s="40" t="str">
        <x:v>Videoaula</x:v>
      </x:c>
      <x:c r="E17" s="40" t="str">
        <x:v>Não iniciado</x:v>
      </x:c>
      <x:c r="F17" s="41" t="str"/>
      <x:c r="G17" s="42" t="str"/>
      <x:c r="H17" s="40" t="str">
        <x:v>Normal</x:v>
      </x:c>
      <x:c r="I17" s="40" t="str">
        <x:f>IF(E17="Concluído","Concluído",IF(A17&lt;TODAY(),"Atrasado",IF(A17=TODAY(),"Hoje","Futuro")))</x:f>
        <x:v>Futuro</x:v>
      </x:c>
      <x:c r="J17" s="43" t="n">
        <x:f>IF(OR(E17="Concluído",A17&gt;=TODAY()),0,TODAY()-A17)</x:f>
        <x:v>0</x:v>
      </x:c>
      <x:c r="K17" s="40" t="str"/>
    </x:row>
    <x:row r="18">
      <x:c r="A18" s="34" t="n">
        <x:v>46217</x:v>
      </x:c>
      <x:c r="B18" s="40" t="str">
        <x:v>Gestão e Governança de Tecnologia da Informação</x:v>
      </x:c>
      <x:c r="C18" s="40" t="str">
        <x:v>1 - Lei 13.303/2016 - Lei das Estatais - Disposições Gerais</x:v>
      </x:c>
      <x:c r="D18" s="40" t="str">
        <x:v>Videoaula</x:v>
      </x:c>
      <x:c r="E18" s="40" t="str">
        <x:v>Não iniciado</x:v>
      </x:c>
      <x:c r="F18" s="41" t="str"/>
      <x:c r="G18" s="42" t="str"/>
      <x:c r="H18" s="40" t="str">
        <x:v>Normal</x:v>
      </x:c>
      <x:c r="I18" s="40" t="str">
        <x:f>IF(E18="Concluído","Concluído",IF(A18&lt;TODAY(),"Atrasado",IF(A18=TODAY(),"Hoje","Futuro")))</x:f>
        <x:v>Futuro</x:v>
      </x:c>
      <x:c r="J18" s="43" t="n">
        <x:f>IF(OR(E18="Concluído",A18&gt;=TODAY()),0,TODAY()-A18)</x:f>
        <x:v>0</x:v>
      </x:c>
      <x:c r="K18" s="40" t="str"/>
    </x:row>
    <x:row r="19">
      <x:c r="A19" s="34" t="n">
        <x:v>46217</x:v>
      </x:c>
      <x:c r="B19" s="40" t="str">
        <x:v>Suporte e Infraestrutura</x:v>
      </x:c>
      <x:c r="C19" s="40" t="str">
        <x:v>1 - Em breve! (Conteúdo em análise | definição | produção)</x:v>
      </x:c>
      <x:c r="D19" s="40" t="str">
        <x:v>Videoaula</x:v>
      </x:c>
      <x:c r="E19" s="40" t="str">
        <x:v>Não iniciado</x:v>
      </x:c>
      <x:c r="F19" s="41" t="str"/>
      <x:c r="G19" s="42" t="str"/>
      <x:c r="H19" s="40" t="str">
        <x:v>Normal</x:v>
      </x:c>
      <x:c r="I19" s="40" t="str">
        <x:f>IF(E19="Concluído","Concluído",IF(A19&lt;TODAY(),"Atrasado",IF(A19=TODAY(),"Hoje","Futuro")))</x:f>
        <x:v>Futuro</x:v>
      </x:c>
      <x:c r="J19" s="43" t="n">
        <x:f>IF(OR(E19="Concluído",A19&gt;=TODAY()),0,TODAY()-A19)</x:f>
        <x:v>0</x:v>
      </x:c>
      <x:c r="K19" s="40" t="str"/>
    </x:row>
    <x:row r="20">
      <x:c r="A20" s="34" t="n">
        <x:v>46217</x:v>
      </x:c>
      <x:c r="B20" s="40" t="str">
        <x:v>Suporte e Infraestrutura</x:v>
      </x:c>
      <x:c r="C20" s="40" t="str">
        <x:v>1 - Cluster Alta Disponibilidade e Performance</x:v>
      </x:c>
      <x:c r="D20" s="40" t="str">
        <x:v>Videoaula</x:v>
      </x:c>
      <x:c r="E20" s="40" t="str">
        <x:v>Não iniciado</x:v>
      </x:c>
      <x:c r="F20" s="41" t="str"/>
      <x:c r="G20" s="42" t="str"/>
      <x:c r="H20" s="40" t="str">
        <x:v>Normal</x:v>
      </x:c>
      <x:c r="I20" s="40" t="str">
        <x:f>IF(E20="Concluído","Concluído",IF(A20&lt;TODAY(),"Atrasado",IF(A20=TODAY(),"Hoje","Futuro")))</x:f>
        <x:v>Futuro</x:v>
      </x:c>
      <x:c r="J20" s="43" t="n">
        <x:f>IF(OR(E20="Concluído",A20&gt;=TODAY()),0,TODAY()-A20)</x:f>
        <x:v>0</x:v>
      </x:c>
      <x:c r="K20" s="40" t="str"/>
    </x:row>
    <x:row r="21">
      <x:c r="A21" s="34" t="n">
        <x:v>46217</x:v>
      </x:c>
      <x:c r="B21" s="40" t="str">
        <x:v>Banco de Dados</x:v>
      </x:c>
      <x:c r="C21" s="40" t="str">
        <x:v>1 - Em breve! (Conteúdo em análise | definição | produção)</x:v>
      </x:c>
      <x:c r="D21" s="40" t="str">
        <x:v>Videoaula</x:v>
      </x:c>
      <x:c r="E21" s="40" t="str">
        <x:v>Não iniciado</x:v>
      </x:c>
      <x:c r="F21" s="41" t="str"/>
      <x:c r="G21" s="42" t="str"/>
      <x:c r="H21" s="40" t="str">
        <x:v>Normal</x:v>
      </x:c>
      <x:c r="I21" s="40" t="str">
        <x:f>IF(E21="Concluído","Concluído",IF(A21&lt;TODAY(),"Atrasado",IF(A21=TODAY(),"Hoje","Futuro")))</x:f>
        <x:v>Futuro</x:v>
      </x:c>
      <x:c r="J21" s="43" t="n">
        <x:f>IF(OR(E21="Concluído",A21&gt;=TODAY()),0,TODAY()-A21)</x:f>
        <x:v>0</x:v>
      </x:c>
      <x:c r="K21" s="40" t="str"/>
    </x:row>
    <x:row r="22">
      <x:c r="A22" s="34" t="n">
        <x:v>46218</x:v>
      </x:c>
      <x:c r="B22" s="40" t="str">
        <x:v>Banco de Dados</x:v>
      </x:c>
      <x:c r="C22" s="40" t="str">
        <x:v>1 - Em breve! (Conteúdo em análise | definição | produção)</x:v>
      </x:c>
      <x:c r="D22" s="40" t="str">
        <x:v>Videoaula</x:v>
      </x:c>
      <x:c r="E22" s="40" t="str">
        <x:v>Não iniciado</x:v>
      </x:c>
      <x:c r="F22" s="41" t="str"/>
      <x:c r="G22" s="42" t="str"/>
      <x:c r="H22" s="40" t="str">
        <x:v>Normal</x:v>
      </x:c>
      <x:c r="I22" s="40" t="str">
        <x:f>IF(E22="Concluído","Concluído",IF(A22&lt;TODAY(),"Atrasado",IF(A22=TODAY(),"Hoje","Futuro")))</x:f>
        <x:v>Futuro</x:v>
      </x:c>
      <x:c r="J22" s="43" t="n">
        <x:f>IF(OR(E22="Concluído",A22&gt;=TODAY()),0,TODAY()-A22)</x:f>
        <x:v>0</x:v>
      </x:c>
      <x:c r="K22" s="40" t="str"/>
    </x:row>
    <x:row r="23">
      <x:c r="A23" s="34" t="n">
        <x:v>46218</x:v>
      </x:c>
      <x:c r="B23" s="40" t="str">
        <x:v>Banco de Dados</x:v>
      </x:c>
      <x:c r="C23" s="40" t="str">
        <x:v>1 - Sistema de Banco de Dados Avançado - Segurança de Banco de Dados</x:v>
      </x:c>
      <x:c r="D23" s="40" t="str">
        <x:v>Videoaula</x:v>
      </x:c>
      <x:c r="E23" s="40" t="str">
        <x:v>Não iniciado</x:v>
      </x:c>
      <x:c r="F23" s="41" t="str"/>
      <x:c r="G23" s="42" t="str"/>
      <x:c r="H23" s="40" t="str">
        <x:v>Normal</x:v>
      </x:c>
      <x:c r="I23" s="40" t="str">
        <x:f>IF(E23="Concluído","Concluído",IF(A23&lt;TODAY(),"Atrasado",IF(A23=TODAY(),"Hoje","Futuro")))</x:f>
        <x:v>Futuro</x:v>
      </x:c>
      <x:c r="J23" s="43" t="n">
        <x:f>IF(OR(E23="Concluído",A23&gt;=TODAY()),0,TODAY()-A23)</x:f>
        <x:v>0</x:v>
      </x:c>
      <x:c r="K23" s="40" t="str"/>
    </x:row>
    <x:row r="24">
      <x:c r="A24" s="34" t="n">
        <x:v>46218</x:v>
      </x:c>
      <x:c r="B24" s="40" t="str">
        <x:v>Redes de Computadores</x:v>
      </x:c>
      <x:c r="C24" s="40" t="str">
        <x:v>1 - Em breve! (Conteúdo em análise | definição | produção)</x:v>
      </x:c>
      <x:c r="D24" s="40" t="str">
        <x:v>Videoaula</x:v>
      </x:c>
      <x:c r="E24" s="40" t="str">
        <x:v>Não iniciado</x:v>
      </x:c>
      <x:c r="F24" s="41" t="str"/>
      <x:c r="G24" s="42" t="str"/>
      <x:c r="H24" s="40" t="str">
        <x:v>Normal</x:v>
      </x:c>
      <x:c r="I24" s="40" t="str">
        <x:f>IF(E24="Concluído","Concluído",IF(A24&lt;TODAY(),"Atrasado",IF(A24=TODAY(),"Hoje","Futuro")))</x:f>
        <x:v>Futuro</x:v>
      </x:c>
      <x:c r="J24" s="43" t="n">
        <x:f>IF(OR(E24="Concluído",A24&gt;=TODAY()),0,TODAY()-A24)</x:f>
        <x:v>0</x:v>
      </x:c>
      <x:c r="K24" s="40" t="str"/>
    </x:row>
    <x:row r="25">
      <x:c r="A25" s="34" t="n">
        <x:v>46218</x:v>
      </x:c>
      <x:c r="B25" s="40" t="str">
        <x:v>Bônus - Inteligência e Equilíbrio Emocional</x:v>
      </x:c>
      <x:c r="C25" s="40" t="str">
        <x:v>1 - Os 50 Fundamentos Emocionais do Concurseiro</x:v>
      </x:c>
      <x:c r="D25" s="40" t="str">
        <x:v>Videoaula</x:v>
      </x:c>
      <x:c r="E25" s="40" t="str">
        <x:v>Não iniciado</x:v>
      </x:c>
      <x:c r="F25" s="41" t="str"/>
      <x:c r="G25" s="42" t="str"/>
      <x:c r="H25" s="40" t="str">
        <x:v>Normal</x:v>
      </x:c>
      <x:c r="I25" s="40" t="str">
        <x:f>IF(E25="Concluído","Concluído",IF(A25&lt;TODAY(),"Atrasado",IF(A25=TODAY(),"Hoje","Futuro")))</x:f>
        <x:v>Futuro</x:v>
      </x:c>
      <x:c r="J25" s="43" t="n">
        <x:f>IF(OR(E25="Concluído",A25&gt;=TODAY()),0,TODAY()-A25)</x:f>
        <x:v>0</x:v>
      </x:c>
      <x:c r="K25" s="40" t="str"/>
    </x:row>
    <x:row r="26">
      <x:c r="A26" s="34" t="n">
        <x:v>46218</x:v>
      </x:c>
      <x:c r="B26" s="40" t="str">
        <x:v>Bônus - Inteligência e Equilíbrio Emocional</x:v>
      </x:c>
      <x:c r="C26" s="40" t="str">
        <x:v>2 - Protagonista, Coadjuvante e Antagonista - Quem é Você?</x:v>
      </x:c>
      <x:c r="D26" s="40" t="str">
        <x:v>Videoaula</x:v>
      </x:c>
      <x:c r="E26" s="40" t="str">
        <x:v>Não iniciado</x:v>
      </x:c>
      <x:c r="F26" s="41" t="str"/>
      <x:c r="G26" s="42" t="str"/>
      <x:c r="H26" s="40" t="str">
        <x:v>Normal</x:v>
      </x:c>
      <x:c r="I26" s="40" t="str">
        <x:f>IF(E26="Concluído","Concluído",IF(A26&lt;TODAY(),"Atrasado",IF(A26=TODAY(),"Hoje","Futuro")))</x:f>
        <x:v>Futuro</x:v>
      </x:c>
      <x:c r="J26" s="43" t="n">
        <x:f>IF(OR(E26="Concluído",A26&gt;=TODAY()),0,TODAY()-A26)</x:f>
        <x:v>0</x:v>
      </x:c>
      <x:c r="K26" s="40" t="str"/>
    </x:row>
    <x:row r="27">
      <x:c r="A27" s="34" t="n">
        <x:v>46219</x:v>
      </x:c>
      <x:c r="B27" s="40" t="str">
        <x:v>Bônus - Inteligência e Equilíbrio Emocional</x:v>
      </x:c>
      <x:c r="C27" s="40" t="str">
        <x:v>2 - Protagonista, Coadjuvante e Antagonista - Quem é Você?</x:v>
      </x:c>
      <x:c r="D27" s="40" t="str">
        <x:v>Videoaula</x:v>
      </x:c>
      <x:c r="E27" s="40" t="str">
        <x:v>Não iniciado</x:v>
      </x:c>
      <x:c r="F27" s="41" t="str"/>
      <x:c r="G27" s="42" t="str"/>
      <x:c r="H27" s="40" t="str">
        <x:v>Normal</x:v>
      </x:c>
      <x:c r="I27" s="40" t="str">
        <x:f>IF(E27="Concluído","Concluído",IF(A27&lt;TODAY(),"Atrasado",IF(A27=TODAY(),"Hoje","Futuro")))</x:f>
        <x:v>Futuro</x:v>
      </x:c>
      <x:c r="J27" s="43" t="n">
        <x:f>IF(OR(E27="Concluído",A27&gt;=TODAY()),0,TODAY()-A27)</x:f>
        <x:v>0</x:v>
      </x:c>
      <x:c r="K27" s="40" t="str"/>
    </x:row>
    <x:row r="28">
      <x:c r="A28" s="34" t="n">
        <x:v>46219</x:v>
      </x:c>
      <x:c r="B28" s="40" t="str">
        <x:v>Língua Portuguesa</x:v>
      </x:c>
      <x:c r="C28" s="40" t="str">
        <x:v>1 - Aula de Apresentação - Compreensão e Interpretação de Textos</x:v>
      </x:c>
      <x:c r="D28" s="40" t="str">
        <x:v>Pdf</x:v>
      </x:c>
      <x:c r="E28" s="40" t="str">
        <x:v>Não iniciado</x:v>
      </x:c>
      <x:c r="F28" s="41" t="str"/>
      <x:c r="G28" s="42" t="str"/>
      <x:c r="H28" s="40" t="str">
        <x:v>Normal</x:v>
      </x:c>
      <x:c r="I28" s="40" t="str">
        <x:f>IF(E28="Concluído","Concluído",IF(A28&lt;TODAY(),"Atrasado",IF(A28=TODAY(),"Hoje","Futuro")))</x:f>
        <x:v>Futuro</x:v>
      </x:c>
      <x:c r="J28" s="43" t="n">
        <x:f>IF(OR(E28="Concluído",A28&gt;=TODAY()),0,TODAY()-A28)</x:f>
        <x:v>0</x:v>
      </x:c>
      <x:c r="K28" s="40" t="str"/>
    </x:row>
    <x:row r="29">
      <x:c r="A29" s="34" t="n">
        <x:v>46220</x:v>
      </x:c>
      <x:c r="B29" s="40" t="str">
        <x:v>Língua Portuguesa</x:v>
      </x:c>
      <x:c r="C29" s="40" t="str">
        <x:v>1 - Aula de Apresentação - Compreensão e Interpretação de Textos</x:v>
      </x:c>
      <x:c r="D29" s="40" t="str">
        <x:v>Pdf</x:v>
      </x:c>
      <x:c r="E29" s="40" t="str">
        <x:v>Não iniciado</x:v>
      </x:c>
      <x:c r="F29" s="41" t="str"/>
      <x:c r="G29" s="42" t="str"/>
      <x:c r="H29" s="40" t="str">
        <x:v>Normal</x:v>
      </x:c>
      <x:c r="I29" s="40" t="str">
        <x:f>IF(E29="Concluído","Concluído",IF(A29&lt;TODAY(),"Atrasado",IF(A29=TODAY(),"Hoje","Futuro")))</x:f>
        <x:v>Futuro</x:v>
      </x:c>
      <x:c r="J29" s="43" t="n">
        <x:f>IF(OR(E29="Concluído",A29&gt;=TODAY()),0,TODAY()-A29)</x:f>
        <x:v>0</x:v>
      </x:c>
      <x:c r="K29" s="40" t="str"/>
    </x:row>
    <x:row r="30">
      <x:c r="A30" s="34" t="n">
        <x:v>46220</x:v>
      </x:c>
      <x:c r="B30" s="40" t="str">
        <x:v>Língua Inglesa</x:v>
      </x:c>
      <x:c r="C30" s="40" t="str">
        <x:v>1 - Aula de Apresentação - Vocabulário e Gramática - Parte I</x:v>
      </x:c>
      <x:c r="D30" s="40" t="str">
        <x:v>Pdf</x:v>
      </x:c>
      <x:c r="E30" s="40" t="str">
        <x:v>Não iniciado</x:v>
      </x:c>
      <x:c r="F30" s="41" t="str"/>
      <x:c r="G30" s="42" t="str"/>
      <x:c r="H30" s="40" t="str">
        <x:v>Normal</x:v>
      </x:c>
      <x:c r="I30" s="40" t="str">
        <x:f>IF(E30="Concluído","Concluído",IF(A30&lt;TODAY(),"Atrasado",IF(A30=TODAY(),"Hoje","Futuro")))</x:f>
        <x:v>Futuro</x:v>
      </x:c>
      <x:c r="J30" s="43" t="n">
        <x:f>IF(OR(E30="Concluído",A30&gt;=TODAY()),0,TODAY()-A30)</x:f>
        <x:v>0</x:v>
      </x:c>
      <x:c r="K30" s="40" t="str"/>
    </x:row>
    <x:row r="31">
      <x:c r="A31" s="34" t="n">
        <x:v>46221</x:v>
      </x:c>
      <x:c r="B31" s="40" t="str">
        <x:v>Língua Inglesa</x:v>
      </x:c>
      <x:c r="C31" s="40" t="str">
        <x:v>1 - Aula de Apresentação - Vocabulário e Gramática - Parte I</x:v>
      </x:c>
      <x:c r="D31" s="40" t="str">
        <x:v>Pdf</x:v>
      </x:c>
      <x:c r="E31" s="40" t="str">
        <x:v>Não iniciado</x:v>
      </x:c>
      <x:c r="F31" s="41" t="str"/>
      <x:c r="G31" s="42" t="str"/>
      <x:c r="H31" s="40" t="str">
        <x:v>Normal</x:v>
      </x:c>
      <x:c r="I31" s="40" t="str">
        <x:f>IF(E31="Concluído","Concluído",IF(A31&lt;TODAY(),"Atrasado",IF(A31=TODAY(),"Hoje","Futuro")))</x:f>
        <x:v>Futuro</x:v>
      </x:c>
      <x:c r="J31" s="43" t="n">
        <x:f>IF(OR(E31="Concluído",A31&gt;=TODAY()),0,TODAY()-A31)</x:f>
        <x:v>0</x:v>
      </x:c>
      <x:c r="K31" s="40" t="str"/>
    </x:row>
    <x:row r="32">
      <x:c r="A32" s="34" t="n">
        <x:v>46221</x:v>
      </x:c>
      <x:c r="B32" s="40" t="str">
        <x:v>Raciocínio Lógico</x:v>
      </x:c>
      <x:c r="C32" s="40" t="str">
        <x:v>1 - Aula de Apresentação - Estruturas Lógicas</x:v>
      </x:c>
      <x:c r="D32" s="40" t="str">
        <x:v>Pdf</x:v>
      </x:c>
      <x:c r="E32" s="40" t="str">
        <x:v>Não iniciado</x:v>
      </x:c>
      <x:c r="F32" s="41" t="str"/>
      <x:c r="G32" s="42" t="str"/>
      <x:c r="H32" s="40" t="str">
        <x:v>Normal</x:v>
      </x:c>
      <x:c r="I32" s="40" t="str">
        <x:f>IF(E32="Concluído","Concluído",IF(A32&lt;TODAY(),"Atrasado",IF(A32=TODAY(),"Hoje","Futuro")))</x:f>
        <x:v>Futuro</x:v>
      </x:c>
      <x:c r="J32" s="43" t="n">
        <x:f>IF(OR(E32="Concluído",A32&gt;=TODAY()),0,TODAY()-A32)</x:f>
        <x:v>0</x:v>
      </x:c>
      <x:c r="K32" s="40" t="str"/>
    </x:row>
    <x:row r="33">
      <x:c r="A33" s="34" t="n">
        <x:v>46222</x:v>
      </x:c>
      <x:c r="B33" s="40" t="str">
        <x:v>Raciocínio Lógico</x:v>
      </x:c>
      <x:c r="C33" s="40" t="str">
        <x:v>1 - Aula de Apresentação - Estruturas Lógicas</x:v>
      </x:c>
      <x:c r="D33" s="40" t="str">
        <x:v>Pdf</x:v>
      </x:c>
      <x:c r="E33" s="40" t="str">
        <x:v>Não iniciado</x:v>
      </x:c>
      <x:c r="F33" s="41" t="str"/>
      <x:c r="G33" s="42" t="str"/>
      <x:c r="H33" s="40" t="str">
        <x:v>Normal</x:v>
      </x:c>
      <x:c r="I33" s="40" t="str">
        <x:f>IF(E33="Concluído","Concluído",IF(A33&lt;TODAY(),"Atrasado",IF(A33=TODAY(),"Hoje","Futuro")))</x:f>
        <x:v>Futuro</x:v>
      </x:c>
      <x:c r="J33" s="43" t="n">
        <x:f>IF(OR(E33="Concluído",A33&gt;=TODAY()),0,TODAY()-A33)</x:f>
        <x:v>0</x:v>
      </x:c>
      <x:c r="K33" s="40" t="str"/>
    </x:row>
    <x:row r="34">
      <x:c r="A34" s="34" t="n">
        <x:v>46222</x:v>
      </x:c>
      <x:c r="B34" s="40" t="str">
        <x:v>Revisão</x:v>
      </x:c>
      <x:c r="C34" s="40" t="str">
        <x:v>Revisão</x:v>
      </x:c>
      <x:c r="D34" s="40" t="str">
        <x:v>Revisao</x:v>
      </x:c>
      <x:c r="E34" s="40" t="str">
        <x:v>Não iniciado</x:v>
      </x:c>
      <x:c r="F34" s="41" t="str"/>
      <x:c r="G34" s="42" t="str"/>
      <x:c r="H34" s="40" t="str">
        <x:v>Normal</x:v>
      </x:c>
      <x:c r="I34" s="40" t="str">
        <x:f>IF(E34="Concluído","Concluído",IF(A34&lt;TODAY(),"Atrasado",IF(A34=TODAY(),"Hoje","Futuro")))</x:f>
        <x:v>Futuro</x:v>
      </x:c>
      <x:c r="J34" s="43" t="n">
        <x:f>IF(OR(E34="Concluído",A34&gt;=TODAY()),0,TODAY()-A34)</x:f>
        <x:v>0</x:v>
      </x:c>
      <x:c r="K34" s="40" t="str"/>
    </x:row>
    <x:row r="35">
      <x:c r="A35" s="34" t="n">
        <x:v>46223</x:v>
      </x:c>
      <x:c r="B35" s="40" t="str">
        <x:v>Raciocínio Lógico</x:v>
      </x:c>
      <x:c r="C35" s="40" t="str">
        <x:v>1 - Aula de Apresentação - Estruturas Lógicas</x:v>
      </x:c>
      <x:c r="D35" s="40" t="str">
        <x:v>Pdf</x:v>
      </x:c>
      <x:c r="E35" s="40" t="str">
        <x:v>Não iniciado</x:v>
      </x:c>
      <x:c r="F35" s="41" t="str"/>
      <x:c r="G35" s="42" t="str"/>
      <x:c r="H35" s="40" t="str">
        <x:v>Normal</x:v>
      </x:c>
      <x:c r="I35" s="40" t="str">
        <x:f>IF(E35="Concluído","Concluído",IF(A35&lt;TODAY(),"Atrasado",IF(A35=TODAY(),"Hoje","Futuro")))</x:f>
        <x:v>Futuro</x:v>
      </x:c>
      <x:c r="J35" s="43" t="n">
        <x:f>IF(OR(E35="Concluído",A35&gt;=TODAY()),0,TODAY()-A35)</x:f>
        <x:v>0</x:v>
      </x:c>
      <x:c r="K35" s="40" t="str"/>
    </x:row>
    <x:row r="36">
      <x:c r="A36" s="34" t="n">
        <x:v>46223</x:v>
      </x:c>
      <x:c r="B36" s="40" t="str">
        <x:v>Atualidades e Inteligência Artificial</x:v>
      </x:c>
      <x:c r="C36" s="40" t="str">
        <x:v>1 - Aula de Apresentação - Atualidades - Parte I</x:v>
      </x:c>
      <x:c r="D36" s="40" t="str">
        <x:v>Pdf</x:v>
      </x:c>
      <x:c r="E36" s="40" t="str">
        <x:v>Não iniciado</x:v>
      </x:c>
      <x:c r="F36" s="41" t="str"/>
      <x:c r="G36" s="42" t="str"/>
      <x:c r="H36" s="40" t="str">
        <x:v>Normal</x:v>
      </x:c>
      <x:c r="I36" s="40" t="str">
        <x:f>IF(E36="Concluído","Concluído",IF(A36&lt;TODAY(),"Atrasado",IF(A36=TODAY(),"Hoje","Futuro")))</x:f>
        <x:v>Futuro</x:v>
      </x:c>
      <x:c r="J36" s="43" t="n">
        <x:f>IF(OR(E36="Concluído",A36&gt;=TODAY()),0,TODAY()-A36)</x:f>
        <x:v>0</x:v>
      </x:c>
      <x:c r="K36" s="40" t="str"/>
    </x:row>
    <x:row r="37">
      <x:c r="A37" s="34" t="n">
        <x:v>46224</x:v>
      </x:c>
      <x:c r="B37" s="40" t="str">
        <x:v>Atualidades e Inteligência Artificial</x:v>
      </x:c>
      <x:c r="C37" s="40" t="str">
        <x:v>1 - Aula de Apresentação - Atualidades - Parte I</x:v>
      </x:c>
      <x:c r="D37" s="40" t="str">
        <x:v>Pdf</x:v>
      </x:c>
      <x:c r="E37" s="40" t="str">
        <x:v>Não iniciado</x:v>
      </x:c>
      <x:c r="F37" s="41" t="str"/>
      <x:c r="G37" s="42" t="str"/>
      <x:c r="H37" s="40" t="str">
        <x:v>Normal</x:v>
      </x:c>
      <x:c r="I37" s="40" t="str">
        <x:f>IF(E37="Concluído","Concluído",IF(A37&lt;TODAY(),"Atrasado",IF(A37=TODAY(),"Hoje","Futuro")))</x:f>
        <x:v>Futuro</x:v>
      </x:c>
      <x:c r="J37" s="43" t="n">
        <x:f>IF(OR(E37="Concluído",A37&gt;=TODAY()),0,TODAY()-A37)</x:f>
        <x:v>0</x:v>
      </x:c>
      <x:c r="K37" s="40" t="str"/>
    </x:row>
    <x:row r="38">
      <x:c r="A38" s="34" t="n">
        <x:v>46224</x:v>
      </x:c>
      <x:c r="B38" s="40" t="str">
        <x:v>Legislação Acerca de Segurança da Informação e Proteção de Dados</x:v>
      </x:c>
      <x:c r="C38" s="40" t="str">
        <x:v>1 - Lei n. 12.527/2011 - Lei de Acesso à Informação</x:v>
      </x:c>
      <x:c r="D38" s="40" t="str">
        <x:v>Pdf</x:v>
      </x:c>
      <x:c r="E38" s="40" t="str">
        <x:v>Não iniciado</x:v>
      </x:c>
      <x:c r="F38" s="41" t="str"/>
      <x:c r="G38" s="42" t="str"/>
      <x:c r="H38" s="40" t="str">
        <x:v>Normal</x:v>
      </x:c>
      <x:c r="I38" s="40" t="str">
        <x:f>IF(E38="Concluído","Concluído",IF(A38&lt;TODAY(),"Atrasado",IF(A38=TODAY(),"Hoje","Futuro")))</x:f>
        <x:v>Futuro</x:v>
      </x:c>
      <x:c r="J38" s="43" t="n">
        <x:f>IF(OR(E38="Concluído",A38&gt;=TODAY()),0,TODAY()-A38)</x:f>
        <x:v>0</x:v>
      </x:c>
      <x:c r="K38" s="40" t="str"/>
    </x:row>
    <x:row r="39">
      <x:c r="A39" s="34" t="n">
        <x:v>46225</x:v>
      </x:c>
      <x:c r="B39" s="40" t="str">
        <x:v>Legislação Acerca de Segurança da Informação e Proteção de Dados</x:v>
      </x:c>
      <x:c r="C39" s="40" t="str">
        <x:v>1 - Lei n. 12.527/2011 - Lei de Acesso à Informação</x:v>
      </x:c>
      <x:c r="D39" s="40" t="str">
        <x:v>Pdf</x:v>
      </x:c>
      <x:c r="E39" s="40" t="str">
        <x:v>Não iniciado</x:v>
      </x:c>
      <x:c r="F39" s="41" t="str"/>
      <x:c r="G39" s="42" t="str"/>
      <x:c r="H39" s="40" t="str">
        <x:v>Normal</x:v>
      </x:c>
      <x:c r="I39" s="40" t="str">
        <x:f>IF(E39="Concluído","Concluído",IF(A39&lt;TODAY(),"Atrasado",IF(A39=TODAY(),"Hoje","Futuro")))</x:f>
        <x:v>Futuro</x:v>
      </x:c>
      <x:c r="J39" s="43" t="n">
        <x:f>IF(OR(E39="Concluído",A39&gt;=TODAY()),0,TODAY()-A39)</x:f>
        <x:v>0</x:v>
      </x:c>
      <x:c r="K39" s="40" t="str"/>
    </x:row>
    <x:row r="40">
      <x:c r="A40" s="34" t="n">
        <x:v>46226</x:v>
      </x:c>
      <x:c r="B40" s="40" t="str">
        <x:v>Banco de Dados</x:v>
      </x:c>
      <x:c r="C40" s="40" t="str">
        <x:v>1 - Consultas e Comandos em SQL</x:v>
      </x:c>
      <x:c r="D40" s="40" t="str">
        <x:v>Pdf</x:v>
      </x:c>
      <x:c r="E40" s="40" t="str">
        <x:v>Não iniciado</x:v>
      </x:c>
      <x:c r="F40" s="41" t="str"/>
      <x:c r="G40" s="42" t="str"/>
      <x:c r="H40" s="40" t="str">
        <x:v>Normal</x:v>
      </x:c>
      <x:c r="I40" s="40" t="str">
        <x:f>IF(E40="Concluído","Concluído",IF(A40&lt;TODAY(),"Atrasado",IF(A40=TODAY(),"Hoje","Futuro")))</x:f>
        <x:v>Futuro</x:v>
      </x:c>
      <x:c r="J40" s="43" t="n">
        <x:f>IF(OR(E40="Concluído",A40&gt;=TODAY()),0,TODAY()-A40)</x:f>
        <x:v>0</x:v>
      </x:c>
      <x:c r="K40" s="40" t="str"/>
    </x:row>
    <x:row r="41">
      <x:c r="A41" s="34" t="n">
        <x:v>46227</x:v>
      </x:c>
      <x:c r="B41" s="40" t="str">
        <x:v>Banco de Dados</x:v>
      </x:c>
      <x:c r="C41" s="40" t="str">
        <x:v>1 - Consultas e Comandos em SQL</x:v>
      </x:c>
      <x:c r="D41" s="40" t="str">
        <x:v>Pdf</x:v>
      </x:c>
      <x:c r="E41" s="40" t="str">
        <x:v>Não iniciado</x:v>
      </x:c>
      <x:c r="F41" s="41" t="str"/>
      <x:c r="G41" s="42" t="str"/>
      <x:c r="H41" s="40" t="str">
        <x:v>Normal</x:v>
      </x:c>
      <x:c r="I41" s="40" t="str">
        <x:f>IF(E41="Concluído","Concluído",IF(A41&lt;TODAY(),"Atrasado",IF(A41=TODAY(),"Hoje","Futuro")))</x:f>
        <x:v>Futuro</x:v>
      </x:c>
      <x:c r="J41" s="43" t="n">
        <x:f>IF(OR(E41="Concluído",A41&gt;=TODAY()),0,TODAY()-A41)</x:f>
        <x:v>0</x:v>
      </x:c>
      <x:c r="K41" s="40" t="str"/>
    </x:row>
    <x:row r="42">
      <x:c r="A42" s="34" t="n">
        <x:v>46227</x:v>
      </x:c>
      <x:c r="B42" s="40" t="str">
        <x:v>Inteligência Emocional</x:v>
      </x:c>
      <x:c r="C42" s="40" t="str">
        <x:v>1 - ELO 1: O Refúgio Emocional do Concurseiro</x:v>
      </x:c>
      <x:c r="D42" s="40" t="str">
        <x:v>Pdf</x:v>
      </x:c>
      <x:c r="E42" s="40" t="str">
        <x:v>Não iniciado</x:v>
      </x:c>
      <x:c r="F42" s="41" t="str"/>
      <x:c r="G42" s="42" t="str"/>
      <x:c r="H42" s="40" t="str">
        <x:v>Normal</x:v>
      </x:c>
      <x:c r="I42" s="40" t="str">
        <x:f>IF(E42="Concluído","Concluído",IF(A42&lt;TODAY(),"Atrasado",IF(A42=TODAY(),"Hoje","Futuro")))</x:f>
        <x:v>Futuro</x:v>
      </x:c>
      <x:c r="J42" s="43" t="n">
        <x:f>IF(OR(E42="Concluído",A42&gt;=TODAY()),0,TODAY()-A42)</x:f>
        <x:v>0</x:v>
      </x:c>
      <x:c r="K42" s="40" t="str"/>
    </x:row>
    <x:row r="43">
      <x:c r="A43" s="34" t="n">
        <x:v>46227</x:v>
      </x:c>
      <x:c r="B43" s="40" t="str">
        <x:v>Língua Portuguesa</x:v>
      </x:c>
      <x:c r="C43" s="40" t="str">
        <x:v>2 - Interpretação e Compreensão de Texto II</x:v>
      </x:c>
      <x:c r="D43" s="40" t="str">
        <x:v>Videoaula</x:v>
      </x:c>
      <x:c r="E43" s="40" t="str">
        <x:v>Não iniciado</x:v>
      </x:c>
      <x:c r="F43" s="41" t="str"/>
      <x:c r="G43" s="42" t="str"/>
      <x:c r="H43" s="40" t="str">
        <x:v>Normal</x:v>
      </x:c>
      <x:c r="I43" s="40" t="str">
        <x:f>IF(E43="Concluído","Concluído",IF(A43&lt;TODAY(),"Atrasado",IF(A43=TODAY(),"Hoje","Futuro")))</x:f>
        <x:v>Futuro</x:v>
      </x:c>
      <x:c r="J43" s="43" t="n">
        <x:f>IF(OR(E43="Concluído",A43&gt;=TODAY()),0,TODAY()-A43)</x:f>
        <x:v>0</x:v>
      </x:c>
      <x:c r="K43" s="40" t="str"/>
    </x:row>
    <x:row r="44">
      <x:c r="A44" s="34" t="n">
        <x:v>46227</x:v>
      </x:c>
      <x:c r="B44" s="40" t="str">
        <x:v>Língua Portuguesa</x:v>
      </x:c>
      <x:c r="C44" s="40" t="str">
        <x:v>3 - Elementos dos Atos de Comunicação</x:v>
      </x:c>
      <x:c r="D44" s="40" t="str">
        <x:v>Videoaula</x:v>
      </x:c>
      <x:c r="E44" s="40" t="str">
        <x:v>Não iniciado</x:v>
      </x:c>
      <x:c r="F44" s="41" t="str"/>
      <x:c r="G44" s="42" t="str"/>
      <x:c r="H44" s="40" t="str">
        <x:v>Normal</x:v>
      </x:c>
      <x:c r="I44" s="40" t="str">
        <x:f>IF(E44="Concluído","Concluído",IF(A44&lt;TODAY(),"Atrasado",IF(A44=TODAY(),"Hoje","Futuro")))</x:f>
        <x:v>Futuro</x:v>
      </x:c>
      <x:c r="J44" s="43" t="n">
        <x:f>IF(OR(E44="Concluído",A44&gt;=TODAY()),0,TODAY()-A44)</x:f>
        <x:v>0</x:v>
      </x:c>
      <x:c r="K44" s="40" t="str"/>
    </x:row>
    <x:row r="45">
      <x:c r="A45" s="34" t="n">
        <x:v>46228</x:v>
      </x:c>
      <x:c r="B45" s="40" t="str">
        <x:v>Língua Portuguesa</x:v>
      </x:c>
      <x:c r="C45" s="40" t="str">
        <x:v>3 - Elementos dos Atos de Comunicação</x:v>
      </x:c>
      <x:c r="D45" s="40" t="str">
        <x:v>Videoaula</x:v>
      </x:c>
      <x:c r="E45" s="40" t="str">
        <x:v>Não iniciado</x:v>
      </x:c>
      <x:c r="F45" s="41" t="str"/>
      <x:c r="G45" s="42" t="str"/>
      <x:c r="H45" s="40" t="str">
        <x:v>Normal</x:v>
      </x:c>
      <x:c r="I45" s="40" t="str">
        <x:f>IF(E45="Concluído","Concluído",IF(A45&lt;TODAY(),"Atrasado",IF(A45=TODAY(),"Hoje","Futuro")))</x:f>
        <x:v>Futuro</x:v>
      </x:c>
      <x:c r="J45" s="43" t="n">
        <x:f>IF(OR(E45="Concluído",A45&gt;=TODAY()),0,TODAY()-A45)</x:f>
        <x:v>0</x:v>
      </x:c>
      <x:c r="K45" s="40" t="str"/>
    </x:row>
    <x:row r="46">
      <x:c r="A46" s="34" t="n">
        <x:v>46228</x:v>
      </x:c>
      <x:c r="B46" s="40" t="str">
        <x:v>Língua Inglesa</x:v>
      </x:c>
      <x:c r="C46" s="40" t="str">
        <x:v>2 - Língua Inglesa - Coworking - Sharing How We Work II</x:v>
      </x:c>
      <x:c r="D46" s="40" t="str">
        <x:v>Videoaula</x:v>
      </x:c>
      <x:c r="E46" s="40" t="str">
        <x:v>Não iniciado</x:v>
      </x:c>
      <x:c r="F46" s="41" t="str"/>
      <x:c r="G46" s="42" t="str"/>
      <x:c r="H46" s="40" t="str">
        <x:v>Normal</x:v>
      </x:c>
      <x:c r="I46" s="40" t="str">
        <x:f>IF(E46="Concluído","Concluído",IF(A46&lt;TODAY(),"Atrasado",IF(A46=TODAY(),"Hoje","Futuro")))</x:f>
        <x:v>Futuro</x:v>
      </x:c>
      <x:c r="J46" s="43" t="n">
        <x:f>IF(OR(E46="Concluído",A46&gt;=TODAY()),0,TODAY()-A46)</x:f>
        <x:v>0</x:v>
      </x:c>
      <x:c r="K46" s="40" t="str"/>
    </x:row>
    <x:row r="47">
      <x:c r="A47" s="34" t="n">
        <x:v>46228</x:v>
      </x:c>
      <x:c r="B47" s="40" t="str">
        <x:v>Língua Inglesa</x:v>
      </x:c>
      <x:c r="C47" s="40" t="str">
        <x:v>3 - Língua Inglesa - Coworking - Sharing How We Work III</x:v>
      </x:c>
      <x:c r="D47" s="40" t="str">
        <x:v>Videoaula</x:v>
      </x:c>
      <x:c r="E47" s="40" t="str">
        <x:v>Não iniciado</x:v>
      </x:c>
      <x:c r="F47" s="41" t="str"/>
      <x:c r="G47" s="42" t="str"/>
      <x:c r="H47" s="40" t="str">
        <x:v>Normal</x:v>
      </x:c>
      <x:c r="I47" s="40" t="str">
        <x:f>IF(E47="Concluído","Concluído",IF(A47&lt;TODAY(),"Atrasado",IF(A47=TODAY(),"Hoje","Futuro")))</x:f>
        <x:v>Futuro</x:v>
      </x:c>
      <x:c r="J47" s="43" t="n">
        <x:f>IF(OR(E47="Concluído",A47&gt;=TODAY()),0,TODAY()-A47)</x:f>
        <x:v>0</x:v>
      </x:c>
      <x:c r="K47" s="40" t="str"/>
    </x:row>
    <x:row r="48">
      <x:c r="A48" s="34" t="n">
        <x:v>46228</x:v>
      </x:c>
      <x:c r="B48" s="40" t="str">
        <x:v>Raciocínio Lógico</x:v>
      </x:c>
      <x:c r="C48" s="40" t="str">
        <x:v>2 - Tabela - Verdade</x:v>
      </x:c>
      <x:c r="D48" s="40" t="str">
        <x:v>Videoaula</x:v>
      </x:c>
      <x:c r="E48" s="40" t="str">
        <x:v>Não iniciado</x:v>
      </x:c>
      <x:c r="F48" s="41" t="str"/>
      <x:c r="G48" s="42" t="str"/>
      <x:c r="H48" s="40" t="str">
        <x:v>Normal</x:v>
      </x:c>
      <x:c r="I48" s="40" t="str">
        <x:f>IF(E48="Concluído","Concluído",IF(A48&lt;TODAY(),"Atrasado",IF(A48=TODAY(),"Hoje","Futuro")))</x:f>
        <x:v>Futuro</x:v>
      </x:c>
      <x:c r="J48" s="43" t="n">
        <x:f>IF(OR(E48="Concluído",A48&gt;=TODAY()),0,TODAY()-A48)</x:f>
        <x:v>0</x:v>
      </x:c>
      <x:c r="K48" s="40" t="str"/>
    </x:row>
    <x:row r="49">
      <x:c r="A49" s="34" t="n">
        <x:v>46229</x:v>
      </x:c>
      <x:c r="B49" s="40" t="str">
        <x:v>Raciocínio Lógico</x:v>
      </x:c>
      <x:c r="C49" s="40" t="str">
        <x:v>2 - Tabela - Verdade</x:v>
      </x:c>
      <x:c r="D49" s="40" t="str">
        <x:v>Videoaula</x:v>
      </x:c>
      <x:c r="E49" s="40" t="str">
        <x:v>Não iniciado</x:v>
      </x:c>
      <x:c r="F49" s="41" t="str"/>
      <x:c r="G49" s="42" t="str"/>
      <x:c r="H49" s="40" t="str">
        <x:v>Normal</x:v>
      </x:c>
      <x:c r="I49" s="40" t="str">
        <x:f>IF(E49="Concluído","Concluído",IF(A49&lt;TODAY(),"Atrasado",IF(A49=TODAY(),"Hoje","Futuro")))</x:f>
        <x:v>Futuro</x:v>
      </x:c>
      <x:c r="J49" s="43" t="n">
        <x:f>IF(OR(E49="Concluído",A49&gt;=TODAY()),0,TODAY()-A49)</x:f>
        <x:v>0</x:v>
      </x:c>
      <x:c r="K49" s="40" t="str"/>
    </x:row>
    <x:row r="50">
      <x:c r="A50" s="34" t="n">
        <x:v>46229</x:v>
      </x:c>
      <x:c r="B50" s="40" t="str">
        <x:v>Raciocínio Lógico</x:v>
      </x:c>
      <x:c r="C50" s="40" t="str">
        <x:v>3 - Negação de Proposição Composta</x:v>
      </x:c>
      <x:c r="D50" s="40" t="str">
        <x:v>Videoaula</x:v>
      </x:c>
      <x:c r="E50" s="40" t="str">
        <x:v>Não iniciado</x:v>
      </x:c>
      <x:c r="F50" s="41" t="str"/>
      <x:c r="G50" s="42" t="str"/>
      <x:c r="H50" s="40" t="str">
        <x:v>Normal</x:v>
      </x:c>
      <x:c r="I50" s="40" t="str">
        <x:f>IF(E50="Concluído","Concluído",IF(A50&lt;TODAY(),"Atrasado",IF(A50=TODAY(),"Hoje","Futuro")))</x:f>
        <x:v>Futuro</x:v>
      </x:c>
      <x:c r="J50" s="43" t="n">
        <x:f>IF(OR(E50="Concluído",A50&gt;=TODAY()),0,TODAY()-A50)</x:f>
        <x:v>0</x:v>
      </x:c>
      <x:c r="K50" s="40" t="str"/>
    </x:row>
    <x:row r="51">
      <x:c r="A51" s="34" t="n">
        <x:v>46229</x:v>
      </x:c>
      <x:c r="B51" s="40" t="str">
        <x:v>Atualidades e Inteligência Artificial</x:v>
      </x:c>
      <x:c r="C51" s="40" t="str">
        <x:v>2 - Meios de Transportes II</x:v>
      </x:c>
      <x:c r="D51" s="40" t="str">
        <x:v>Videoaula</x:v>
      </x:c>
      <x:c r="E51" s="40" t="str">
        <x:v>Não iniciado</x:v>
      </x:c>
      <x:c r="F51" s="41" t="str"/>
      <x:c r="G51" s="42" t="str"/>
      <x:c r="H51" s="40" t="str">
        <x:v>Normal</x:v>
      </x:c>
      <x:c r="I51" s="40" t="str">
        <x:f>IF(E51="Concluído","Concluído",IF(A51&lt;TODAY(),"Atrasado",IF(A51=TODAY(),"Hoje","Futuro")))</x:f>
        <x:v>Futuro</x:v>
      </x:c>
      <x:c r="J51" s="43" t="n">
        <x:f>IF(OR(E51="Concluído",A51&gt;=TODAY()),0,TODAY()-A51)</x:f>
        <x:v>0</x:v>
      </x:c>
      <x:c r="K51" s="40" t="str"/>
    </x:row>
    <x:row r="52">
      <x:c r="A52" s="34" t="n">
        <x:v>46229</x:v>
      </x:c>
      <x:c r="B52" s="40" t="str">
        <x:v>Atualidades e Inteligência Artificial</x:v>
      </x:c>
      <x:c r="C52" s="40" t="str">
        <x:v>3 - Fontes de Energia</x:v>
      </x:c>
      <x:c r="D52" s="40" t="str">
        <x:v>Videoaula</x:v>
      </x:c>
      <x:c r="E52" s="40" t="str">
        <x:v>Não iniciado</x:v>
      </x:c>
      <x:c r="F52" s="41" t="str"/>
      <x:c r="G52" s="42" t="str"/>
      <x:c r="H52" s="40" t="str">
        <x:v>Normal</x:v>
      </x:c>
      <x:c r="I52" s="40" t="str">
        <x:f>IF(E52="Concluído","Concluído",IF(A52&lt;TODAY(),"Atrasado",IF(A52=TODAY(),"Hoje","Futuro")))</x:f>
        <x:v>Futuro</x:v>
      </x:c>
      <x:c r="J52" s="43" t="n">
        <x:f>IF(OR(E52="Concluído",A52&gt;=TODAY()),0,TODAY()-A52)</x:f>
        <x:v>0</x:v>
      </x:c>
      <x:c r="K52" s="40" t="str"/>
    </x:row>
    <x:row r="53">
      <x:c r="A53" s="34" t="n">
        <x:v>46229</x:v>
      </x:c>
      <x:c r="B53" s="40" t="str">
        <x:v>Revisão</x:v>
      </x:c>
      <x:c r="C53" s="40" t="str">
        <x:v>Revisão</x:v>
      </x:c>
      <x:c r="D53" s="40" t="str">
        <x:v>Revisao</x:v>
      </x:c>
      <x:c r="E53" s="40" t="str">
        <x:v>Não iniciado</x:v>
      </x:c>
      <x:c r="F53" s="41" t="str"/>
      <x:c r="G53" s="42" t="str"/>
      <x:c r="H53" s="40" t="str">
        <x:v>Normal</x:v>
      </x:c>
      <x:c r="I53" s="40" t="str">
        <x:f>IF(E53="Concluído","Concluído",IF(A53&lt;TODAY(),"Atrasado",IF(A53=TODAY(),"Hoje","Futuro")))</x:f>
        <x:v>Futuro</x:v>
      </x:c>
      <x:c r="J53" s="43" t="n">
        <x:f>IF(OR(E53="Concluído",A53&gt;=TODAY()),0,TODAY()-A53)</x:f>
        <x:v>0</x:v>
      </x:c>
      <x:c r="K53" s="40" t="str"/>
    </x:row>
    <x:row r="54">
      <x:c r="A54" s="34" t="n">
        <x:v>46230</x:v>
      </x:c>
      <x:c r="B54" s="40" t="str">
        <x:v>Atualidades e Inteligência Artificial</x:v>
      </x:c>
      <x:c r="C54" s="40" t="str">
        <x:v>3 - Fontes de Energia</x:v>
      </x:c>
      <x:c r="D54" s="40" t="str">
        <x:v>Videoaula</x:v>
      </x:c>
      <x:c r="E54" s="40" t="str">
        <x:v>Não iniciado</x:v>
      </x:c>
      <x:c r="F54" s="41" t="str"/>
      <x:c r="G54" s="42" t="str"/>
      <x:c r="H54" s="40" t="str">
        <x:v>Normal</x:v>
      </x:c>
      <x:c r="I54" s="40" t="str">
        <x:f>IF(E54="Concluído","Concluído",IF(A54&lt;TODAY(),"Atrasado",IF(A54=TODAY(),"Hoje","Futuro")))</x:f>
        <x:v>Futuro</x:v>
      </x:c>
      <x:c r="J54" s="43" t="n">
        <x:f>IF(OR(E54="Concluído",A54&gt;=TODAY()),0,TODAY()-A54)</x:f>
        <x:v>0</x:v>
      </x:c>
      <x:c r="K54" s="40" t="str"/>
    </x:row>
    <x:row r="55">
      <x:c r="A55" s="34" t="n">
        <x:v>46230</x:v>
      </x:c>
      <x:c r="B55" s="40" t="str">
        <x:v>Legislação Acerca de Segurança da Informação e Proteção de Dados</x:v>
      </x:c>
      <x:c r="C55" s="40" t="str">
        <x:v>3 - Lei nº 12.527/2011 - Lei de Acesso à Informação - Do Acesso à Informação</x:v>
      </x:c>
      <x:c r="D55" s="40" t="str">
        <x:v>Videoaula</x:v>
      </x:c>
      <x:c r="E55" s="40" t="str">
        <x:v>Não iniciado</x:v>
      </x:c>
      <x:c r="F55" s="41" t="str"/>
      <x:c r="G55" s="42" t="str"/>
      <x:c r="H55" s="40" t="str">
        <x:v>Normal</x:v>
      </x:c>
      <x:c r="I55" s="40" t="str">
        <x:f>IF(E55="Concluído","Concluído",IF(A55&lt;TODAY(),"Atrasado",IF(A55=TODAY(),"Hoje","Futuro")))</x:f>
        <x:v>Futuro</x:v>
      </x:c>
      <x:c r="J55" s="43" t="n">
        <x:f>IF(OR(E55="Concluído",A55&gt;=TODAY()),0,TODAY()-A55)</x:f>
        <x:v>0</x:v>
      </x:c>
      <x:c r="K55" s="40" t="str"/>
    </x:row>
    <x:row r="56">
      <x:c r="A56" s="34" t="n">
        <x:v>46230</x:v>
      </x:c>
      <x:c r="B56" s="40" t="str">
        <x:v>Legislação Acerca de Segurança da Informação e Proteção de Dados</x:v>
      </x:c>
      <x:c r="C56" s="40" t="str">
        <x:v>4 - Lei nº 12.527/2011 - Lei de Acesso à Informação - Recursos</x:v>
      </x:c>
      <x:c r="D56" s="40" t="str">
        <x:v>Videoaula</x:v>
      </x:c>
      <x:c r="E56" s="40" t="str">
        <x:v>Não iniciado</x:v>
      </x:c>
      <x:c r="F56" s="41" t="str"/>
      <x:c r="G56" s="42" t="str"/>
      <x:c r="H56" s="40" t="str">
        <x:v>Normal</x:v>
      </x:c>
      <x:c r="I56" s="40" t="str">
        <x:f>IF(E56="Concluído","Concluído",IF(A56&lt;TODAY(),"Atrasado",IF(A56=TODAY(),"Hoje","Futuro")))</x:f>
        <x:v>Futuro</x:v>
      </x:c>
      <x:c r="J56" s="43" t="n">
        <x:f>IF(OR(E56="Concluído",A56&gt;=TODAY()),0,TODAY()-A56)</x:f>
        <x:v>0</x:v>
      </x:c>
      <x:c r="K56" s="40" t="str"/>
    </x:row>
    <x:row r="57">
      <x:c r="A57" s="34" t="n">
        <x:v>46230</x:v>
      </x:c>
      <x:c r="B57" s="40" t="str">
        <x:v>Gestão e Governança de Tecnologia da Informação</x:v>
      </x:c>
      <x:c r="C57" s="40" t="str">
        <x:v>2 - Lei 13.303/2016 - Lei das Estatais - Disposições Gerais II</x:v>
      </x:c>
      <x:c r="D57" s="40" t="str">
        <x:v>Videoaula</x:v>
      </x:c>
      <x:c r="E57" s="40" t="str">
        <x:v>Não iniciado</x:v>
      </x:c>
      <x:c r="F57" s="41" t="str"/>
      <x:c r="G57" s="42" t="str"/>
      <x:c r="H57" s="40" t="str">
        <x:v>Normal</x:v>
      </x:c>
      <x:c r="I57" s="40" t="str">
        <x:f>IF(E57="Concluído","Concluído",IF(A57&lt;TODAY(),"Atrasado",IF(A57=TODAY(),"Hoje","Futuro")))</x:f>
        <x:v>Futuro</x:v>
      </x:c>
      <x:c r="J57" s="43" t="n">
        <x:f>IF(OR(E57="Concluído",A57&gt;=TODAY()),0,TODAY()-A57)</x:f>
        <x:v>0</x:v>
      </x:c>
      <x:c r="K57" s="40" t="str"/>
    </x:row>
    <x:row r="58">
      <x:c r="A58" s="34" t="n">
        <x:v>46230</x:v>
      </x:c>
      <x:c r="B58" s="40" t="str">
        <x:v>Gestão e Governança de Tecnologia da Informação</x:v>
      </x:c>
      <x:c r="C58" s="40" t="str">
        <x:v>3 - Lei 13.303/2016 - Lei das Estatais - Conceito de EP/SEM</x:v>
      </x:c>
      <x:c r="D58" s="40" t="str">
        <x:v>Videoaula</x:v>
      </x:c>
      <x:c r="E58" s="40" t="str">
        <x:v>Não iniciado</x:v>
      </x:c>
      <x:c r="F58" s="41" t="str"/>
      <x:c r="G58" s="42" t="str"/>
      <x:c r="H58" s="40" t="str">
        <x:v>Normal</x:v>
      </x:c>
      <x:c r="I58" s="40" t="str">
        <x:f>IF(E58="Concluído","Concluído",IF(A58&lt;TODAY(),"Atrasado",IF(A58=TODAY(),"Hoje","Futuro")))</x:f>
        <x:v>Futuro</x:v>
      </x:c>
      <x:c r="J58" s="43" t="n">
        <x:f>IF(OR(E58="Concluído",A58&gt;=TODAY()),0,TODAY()-A58)</x:f>
        <x:v>0</x:v>
      </x:c>
      <x:c r="K58" s="40" t="str"/>
    </x:row>
    <x:row r="59">
      <x:c r="A59" s="34" t="n">
        <x:v>46230</x:v>
      </x:c>
      <x:c r="B59" s="40" t="str">
        <x:v>Suporte e Infraestrutura</x:v>
      </x:c>
      <x:c r="C59" s="40" t="str">
        <x:v>2 - Cluster Alta Disponibilidade e Performance II</x:v>
      </x:c>
      <x:c r="D59" s="40" t="str">
        <x:v>Videoaula</x:v>
      </x:c>
      <x:c r="E59" s="40" t="str">
        <x:v>Não iniciado</x:v>
      </x:c>
      <x:c r="F59" s="41" t="str"/>
      <x:c r="G59" s="42" t="str"/>
      <x:c r="H59" s="40" t="str">
        <x:v>Normal</x:v>
      </x:c>
      <x:c r="I59" s="40" t="str">
        <x:f>IF(E59="Concluído","Concluído",IF(A59&lt;TODAY(),"Atrasado",IF(A59=TODAY(),"Hoje","Futuro")))</x:f>
        <x:v>Futuro</x:v>
      </x:c>
      <x:c r="J59" s="43" t="n">
        <x:f>IF(OR(E59="Concluído",A59&gt;=TODAY()),0,TODAY()-A59)</x:f>
        <x:v>0</x:v>
      </x:c>
      <x:c r="K59" s="40" t="str"/>
    </x:row>
    <x:row r="60">
      <x:c r="A60" s="34" t="n">
        <x:v>46231</x:v>
      </x:c>
      <x:c r="B60" s="40" t="str">
        <x:v>Suporte e Infraestrutura</x:v>
      </x:c>
      <x:c r="C60" s="40" t="str">
        <x:v>2 - Cluster Alta Disponibilidade e Performance II</x:v>
      </x:c>
      <x:c r="D60" s="40" t="str">
        <x:v>Videoaula</x:v>
      </x:c>
      <x:c r="E60" s="40" t="str">
        <x:v>Não iniciado</x:v>
      </x:c>
      <x:c r="F60" s="41" t="str"/>
      <x:c r="G60" s="42" t="str"/>
      <x:c r="H60" s="40" t="str">
        <x:v>Normal</x:v>
      </x:c>
      <x:c r="I60" s="40" t="str">
        <x:f>IF(E60="Concluído","Concluído",IF(A60&lt;TODAY(),"Atrasado",IF(A60=TODAY(),"Hoje","Futuro")))</x:f>
        <x:v>Futuro</x:v>
      </x:c>
      <x:c r="J60" s="43" t="n">
        <x:f>IF(OR(E60="Concluído",A60&gt;=TODAY()),0,TODAY()-A60)</x:f>
        <x:v>0</x:v>
      </x:c>
      <x:c r="K60" s="40" t="str"/>
    </x:row>
    <x:row r="61">
      <x:c r="A61" s="34" t="n">
        <x:v>46231</x:v>
      </x:c>
      <x:c r="B61" s="40" t="str">
        <x:v>Suporte e Infraestrutura</x:v>
      </x:c>
      <x:c r="C61" s="40" t="str">
        <x:v>1 - Computação em Grid</x:v>
      </x:c>
      <x:c r="D61" s="40" t="str">
        <x:v>Videoaula</x:v>
      </x:c>
      <x:c r="E61" s="40" t="str">
        <x:v>Não iniciado</x:v>
      </x:c>
      <x:c r="F61" s="41" t="str"/>
      <x:c r="G61" s="42" t="str"/>
      <x:c r="H61" s="40" t="str">
        <x:v>Normal</x:v>
      </x:c>
      <x:c r="I61" s="40" t="str">
        <x:f>IF(E61="Concluído","Concluído",IF(A61&lt;TODAY(),"Atrasado",IF(A61=TODAY(),"Hoje","Futuro")))</x:f>
        <x:v>Futuro</x:v>
      </x:c>
      <x:c r="J61" s="43" t="n">
        <x:f>IF(OR(E61="Concluído",A61&gt;=TODAY()),0,TODAY()-A61)</x:f>
        <x:v>0</x:v>
      </x:c>
      <x:c r="K61" s="40" t="str"/>
    </x:row>
    <x:row r="62">
      <x:c r="A62" s="34" t="n">
        <x:v>46231</x:v>
      </x:c>
      <x:c r="B62" s="40" t="str">
        <x:v>Banco de Dados</x:v>
      </x:c>
      <x:c r="C62" s="40" t="str">
        <x:v>2 - Sistema de Banco de Dados Avançado - Gerenciamento de Transações</x:v>
      </x:c>
      <x:c r="D62" s="40" t="str">
        <x:v>Videoaula</x:v>
      </x:c>
      <x:c r="E62" s="40" t="str">
        <x:v>Não iniciado</x:v>
      </x:c>
      <x:c r="F62" s="41" t="str"/>
      <x:c r="G62" s="42" t="str"/>
      <x:c r="H62" s="40" t="str">
        <x:v>Normal</x:v>
      </x:c>
      <x:c r="I62" s="40" t="str">
        <x:f>IF(E62="Concluído","Concluído",IF(A62&lt;TODAY(),"Atrasado",IF(A62=TODAY(),"Hoje","Futuro")))</x:f>
        <x:v>Futuro</x:v>
      </x:c>
      <x:c r="J62" s="43" t="n">
        <x:f>IF(OR(E62="Concluído",A62&gt;=TODAY()),0,TODAY()-A62)</x:f>
        <x:v>0</x:v>
      </x:c>
      <x:c r="K62" s="40" t="str"/>
    </x:row>
    <x:row r="63">
      <x:c r="A63" s="34" t="n">
        <x:v>46231</x:v>
      </x:c>
      <x:c r="B63" s="40" t="str">
        <x:v>Banco de Dados</x:v>
      </x:c>
      <x:c r="C63" s="40" t="str">
        <x:v>3 - Sistema de Banco de Dados Avançado - Gerenciamento de Transações II</x:v>
      </x:c>
      <x:c r="D63" s="40" t="str">
        <x:v>Videoaula</x:v>
      </x:c>
      <x:c r="E63" s="40" t="str">
        <x:v>Não iniciado</x:v>
      </x:c>
      <x:c r="F63" s="41" t="str"/>
      <x:c r="G63" s="42" t="str"/>
      <x:c r="H63" s="40" t="str">
        <x:v>Normal</x:v>
      </x:c>
      <x:c r="I63" s="40" t="str">
        <x:f>IF(E63="Concluído","Concluído",IF(A63&lt;TODAY(),"Atrasado",IF(A63=TODAY(),"Hoje","Futuro")))</x:f>
        <x:v>Futuro</x:v>
      </x:c>
      <x:c r="J63" s="43" t="n">
        <x:f>IF(OR(E63="Concluído",A63&gt;=TODAY()),0,TODAY()-A63)</x:f>
        <x:v>0</x:v>
      </x:c>
      <x:c r="K63" s="40" t="str"/>
    </x:row>
    <x:row r="64">
      <x:c r="A64" s="34" t="n">
        <x:v>46232</x:v>
      </x:c>
      <x:c r="B64" s="40" t="str">
        <x:v>Banco de Dados</x:v>
      </x:c>
      <x:c r="C64" s="40" t="str">
        <x:v>3 - Sistema de Banco de Dados Avançado - Gerenciamento de Transações II</x:v>
      </x:c>
      <x:c r="D64" s="40" t="str">
        <x:v>Videoaula</x:v>
      </x:c>
      <x:c r="E64" s="40" t="str">
        <x:v>Não iniciado</x:v>
      </x:c>
      <x:c r="F64" s="41" t="str"/>
      <x:c r="G64" s="42" t="str"/>
      <x:c r="H64" s="40" t="str">
        <x:v>Normal</x:v>
      </x:c>
      <x:c r="I64" s="40" t="str">
        <x:f>IF(E64="Concluído","Concluído",IF(A64&lt;TODAY(),"Atrasado",IF(A64=TODAY(),"Hoje","Futuro")))</x:f>
        <x:v>Futuro</x:v>
      </x:c>
      <x:c r="J64" s="43" t="n">
        <x:f>IF(OR(E64="Concluído",A64&gt;=TODAY()),0,TODAY()-A64)</x:f>
        <x:v>0</x:v>
      </x:c>
      <x:c r="K64" s="40" t="str"/>
    </x:row>
    <x:row r="65">
      <x:c r="A65" s="34" t="n">
        <x:v>46232</x:v>
      </x:c>
      <x:c r="B65" s="40" t="str">
        <x:v>Bônus - Inteligência e Equilíbrio Emocional</x:v>
      </x:c>
      <x:c r="C65" s="40" t="str">
        <x:v>3 - Os 50 Fundamentos Emocionais</x:v>
      </x:c>
      <x:c r="D65" s="40" t="str">
        <x:v>Videoaula</x:v>
      </x:c>
      <x:c r="E65" s="40" t="str">
        <x:v>Não iniciado</x:v>
      </x:c>
      <x:c r="F65" s="41" t="str"/>
      <x:c r="G65" s="42" t="str"/>
      <x:c r="H65" s="40" t="str">
        <x:v>Normal</x:v>
      </x:c>
      <x:c r="I65" s="40" t="str">
        <x:f>IF(E65="Concluído","Concluído",IF(A65&lt;TODAY(),"Atrasado",IF(A65=TODAY(),"Hoje","Futuro")))</x:f>
        <x:v>Futuro</x:v>
      </x:c>
      <x:c r="J65" s="43" t="n">
        <x:f>IF(OR(E65="Concluído",A65&gt;=TODAY()),0,TODAY()-A65)</x:f>
        <x:v>0</x:v>
      </x:c>
      <x:c r="K65" s="40" t="str"/>
    </x:row>
    <x:row r="66">
      <x:c r="A66" s="34" t="n">
        <x:v>46232</x:v>
      </x:c>
      <x:c r="B66" s="40" t="str">
        <x:v>Bônus - Inteligência e Equilíbrio Emocional</x:v>
      </x:c>
      <x:c r="C66" s="40" t="str">
        <x:v>4 - Autossabotagem</x:v>
      </x:c>
      <x:c r="D66" s="40" t="str">
        <x:v>Videoaula</x:v>
      </x:c>
      <x:c r="E66" s="40" t="str">
        <x:v>Não iniciado</x:v>
      </x:c>
      <x:c r="F66" s="41" t="str"/>
      <x:c r="G66" s="42" t="str"/>
      <x:c r="H66" s="40" t="str">
        <x:v>Normal</x:v>
      </x:c>
      <x:c r="I66" s="40" t="str">
        <x:f>IF(E66="Concluído","Concluído",IF(A66&lt;TODAY(),"Atrasado",IF(A66=TODAY(),"Hoje","Futuro")))</x:f>
        <x:v>Futuro</x:v>
      </x:c>
      <x:c r="J66" s="43" t="n">
        <x:f>IF(OR(E66="Concluído",A66&gt;=TODAY()),0,TODAY()-A66)</x:f>
        <x:v>0</x:v>
      </x:c>
      <x:c r="K66" s="40" t="str"/>
    </x:row>
    <x:row r="67">
      <x:c r="A67" s="34" t="n">
        <x:v>46232</x:v>
      </x:c>
      <x:c r="B67" s="40" t="str">
        <x:v>Língua Portuguesa</x:v>
      </x:c>
      <x:c r="C67" s="40" t="str">
        <x:v>2 - Compreensão e Interpretação de Textos</x:v>
      </x:c>
      <x:c r="D67" s="40" t="str">
        <x:v>Pdf</x:v>
      </x:c>
      <x:c r="E67" s="40" t="str">
        <x:v>Não iniciado</x:v>
      </x:c>
      <x:c r="F67" s="41" t="str"/>
      <x:c r="G67" s="42" t="str"/>
      <x:c r="H67" s="40" t="str">
        <x:v>Normal</x:v>
      </x:c>
      <x:c r="I67" s="40" t="str">
        <x:f>IF(E67="Concluído","Concluído",IF(A67&lt;TODAY(),"Atrasado",IF(A67=TODAY(),"Hoje","Futuro")))</x:f>
        <x:v>Futuro</x:v>
      </x:c>
      <x:c r="J67" s="43" t="n">
        <x:f>IF(OR(E67="Concluído",A67&gt;=TODAY()),0,TODAY()-A67)</x:f>
        <x:v>0</x:v>
      </x:c>
      <x:c r="K67" s="40" t="str"/>
    </x:row>
    <x:row r="68">
      <x:c r="A68" s="34" t="n">
        <x:v>46232</x:v>
      </x:c>
      <x:c r="B68" s="40" t="str">
        <x:v>Língua Inglesa</x:v>
      </x:c>
      <x:c r="C68" s="40" t="str">
        <x:v>2 - Vocabulário e Gramática - Parte I</x:v>
      </x:c>
      <x:c r="D68" s="40" t="str">
        <x:v>Pdf</x:v>
      </x:c>
      <x:c r="E68" s="40" t="str">
        <x:v>Não iniciado</x:v>
      </x:c>
      <x:c r="F68" s="41" t="str"/>
      <x:c r="G68" s="42" t="str"/>
      <x:c r="H68" s="40" t="str">
        <x:v>Normal</x:v>
      </x:c>
      <x:c r="I68" s="40" t="str">
        <x:f>IF(E68="Concluído","Concluído",IF(A68&lt;TODAY(),"Atrasado",IF(A68=TODAY(),"Hoje","Futuro")))</x:f>
        <x:v>Futuro</x:v>
      </x:c>
      <x:c r="J68" s="43" t="n">
        <x:f>IF(OR(E68="Concluído",A68&gt;=TODAY()),0,TODAY()-A68)</x:f>
        <x:v>0</x:v>
      </x:c>
      <x:c r="K68" s="40" t="str"/>
    </x:row>
    <x:row r="69">
      <x:c r="A69" s="34" t="n">
        <x:v>46233</x:v>
      </x:c>
      <x:c r="B69" s="40" t="str">
        <x:v>Língua Inglesa</x:v>
      </x:c>
      <x:c r="C69" s="40" t="str">
        <x:v>2 - Vocabulário e Gramática - Parte I</x:v>
      </x:c>
      <x:c r="D69" s="40" t="str">
        <x:v>Pdf</x:v>
      </x:c>
      <x:c r="E69" s="40" t="str">
        <x:v>Não iniciado</x:v>
      </x:c>
      <x:c r="F69" s="41" t="str"/>
      <x:c r="G69" s="42" t="str"/>
      <x:c r="H69" s="40" t="str">
        <x:v>Normal</x:v>
      </x:c>
      <x:c r="I69" s="40" t="str">
        <x:f>IF(E69="Concluído","Concluído",IF(A69&lt;TODAY(),"Atrasado",IF(A69=TODAY(),"Hoje","Futuro")))</x:f>
        <x:v>Futuro</x:v>
      </x:c>
      <x:c r="J69" s="43" t="n">
        <x:f>IF(OR(E69="Concluído",A69&gt;=TODAY()),0,TODAY()-A69)</x:f>
        <x:v>0</x:v>
      </x:c>
      <x:c r="K69" s="40" t="str"/>
    </x:row>
    <x:row r="70">
      <x:c r="A70" s="34" t="n">
        <x:v>46233</x:v>
      </x:c>
      <x:c r="B70" s="40" t="str">
        <x:v>Raciocínio Lógico</x:v>
      </x:c>
      <x:c r="C70" s="40" t="str">
        <x:v>2 - Estruturas Lógicas</x:v>
      </x:c>
      <x:c r="D70" s="40" t="str">
        <x:v>Pdf</x:v>
      </x:c>
      <x:c r="E70" s="40" t="str">
        <x:v>Não iniciado</x:v>
      </x:c>
      <x:c r="F70" s="41" t="str"/>
      <x:c r="G70" s="42" t="str"/>
      <x:c r="H70" s="40" t="str">
        <x:v>Normal</x:v>
      </x:c>
      <x:c r="I70" s="40" t="str">
        <x:f>IF(E70="Concluído","Concluído",IF(A70&lt;TODAY(),"Atrasado",IF(A70=TODAY(),"Hoje","Futuro")))</x:f>
        <x:v>Futuro</x:v>
      </x:c>
      <x:c r="J70" s="43" t="n">
        <x:f>IF(OR(E70="Concluído",A70&gt;=TODAY()),0,TODAY()-A70)</x:f>
        <x:v>0</x:v>
      </x:c>
      <x:c r="K70" s="40" t="str"/>
    </x:row>
    <x:row r="71">
      <x:c r="A71" s="34" t="n">
        <x:v>46233</x:v>
      </x:c>
      <x:c r="B71" s="40" t="str">
        <x:v>Atualidades e Inteligência Artificial</x:v>
      </x:c>
      <x:c r="C71" s="40" t="str">
        <x:v>2 - Atualidades - Parte II</x:v>
      </x:c>
      <x:c r="D71" s="40" t="str">
        <x:v>Pdf</x:v>
      </x:c>
      <x:c r="E71" s="40" t="str">
        <x:v>Não iniciado</x:v>
      </x:c>
      <x:c r="F71" s="41" t="str"/>
      <x:c r="G71" s="42" t="str"/>
      <x:c r="H71" s="40" t="str">
        <x:v>Normal</x:v>
      </x:c>
      <x:c r="I71" s="40" t="str">
        <x:f>IF(E71="Concluído","Concluído",IF(A71&lt;TODAY(),"Atrasado",IF(A71=TODAY(),"Hoje","Futuro")))</x:f>
        <x:v>Futuro</x:v>
      </x:c>
      <x:c r="J71" s="43" t="n">
        <x:f>IF(OR(E71="Concluído",A71&gt;=TODAY()),0,TODAY()-A71)</x:f>
        <x:v>0</x:v>
      </x:c>
      <x:c r="K71" s="40" t="str"/>
    </x:row>
    <x:row r="72">
      <x:c r="A72" s="34" t="n">
        <x:v>46234</x:v>
      </x:c>
      <x:c r="B72" s="40" t="str">
        <x:v>Atualidades e Inteligência Artificial</x:v>
      </x:c>
      <x:c r="C72" s="40" t="str">
        <x:v>2 - Atualidades - Parte II</x:v>
      </x:c>
      <x:c r="D72" s="40" t="str">
        <x:v>Pdf</x:v>
      </x:c>
      <x:c r="E72" s="40" t="str">
        <x:v>Não iniciado</x:v>
      </x:c>
      <x:c r="F72" s="41" t="str"/>
      <x:c r="G72" s="42" t="str"/>
      <x:c r="H72" s="40" t="str">
        <x:v>Normal</x:v>
      </x:c>
      <x:c r="I72" s="40" t="str">
        <x:f>IF(E72="Concluído","Concluído",IF(A72&lt;TODAY(),"Atrasado",IF(A72=TODAY(),"Hoje","Futuro")))</x:f>
        <x:v>Futuro</x:v>
      </x:c>
      <x:c r="J72" s="43" t="n">
        <x:f>IF(OR(E72="Concluído",A72&gt;=TODAY()),0,TODAY()-A72)</x:f>
        <x:v>0</x:v>
      </x:c>
      <x:c r="K72" s="40" t="str"/>
    </x:row>
    <x:row r="73">
      <x:c r="A73" s="34" t="n">
        <x:v>46234</x:v>
      </x:c>
      <x:c r="B73" s="40" t="str">
        <x:v>Legislação Acerca de Segurança da Informação e Proteção de Dados</x:v>
      </x:c>
      <x:c r="C73" s="40" t="str">
        <x:v>2 - Lei n. 12.527/2011 - Lei de Acesso à Informação</x:v>
      </x:c>
      <x:c r="D73" s="40" t="str">
        <x:v>Pdf</x:v>
      </x:c>
      <x:c r="E73" s="40" t="str">
        <x:v>Não iniciado</x:v>
      </x:c>
      <x:c r="F73" s="41" t="str"/>
      <x:c r="G73" s="42" t="str"/>
      <x:c r="H73" s="40" t="str">
        <x:v>Normal</x:v>
      </x:c>
      <x:c r="I73" s="40" t="str">
        <x:f>IF(E73="Concluído","Concluído",IF(A73&lt;TODAY(),"Atrasado",IF(A73=TODAY(),"Hoje","Futuro")))</x:f>
        <x:v>Futuro</x:v>
      </x:c>
      <x:c r="J73" s="43" t="n">
        <x:f>IF(OR(E73="Concluído",A73&gt;=TODAY()),0,TODAY()-A73)</x:f>
        <x:v>0</x:v>
      </x:c>
      <x:c r="K73" s="40" t="str"/>
    </x:row>
    <x:row r="74">
      <x:c r="A74" s="34" t="n">
        <x:v>46235</x:v>
      </x:c>
      <x:c r="B74" s="40" t="str">
        <x:v>Legislação Acerca de Segurança da Informação e Proteção de Dados</x:v>
      </x:c>
      <x:c r="C74" s="40" t="str">
        <x:v>2 - Lei n. 12.527/2011 - Lei de Acesso à Informação</x:v>
      </x:c>
      <x:c r="D74" s="40" t="str">
        <x:v>Pdf</x:v>
      </x:c>
      <x:c r="E74" s="40" t="str">
        <x:v>Não iniciado</x:v>
      </x:c>
      <x:c r="F74" s="41" t="str"/>
      <x:c r="G74" s="42" t="str"/>
      <x:c r="H74" s="40" t="str">
        <x:v>Normal</x:v>
      </x:c>
      <x:c r="I74" s="40" t="str">
        <x:f>IF(E74="Concluído","Concluído",IF(A74&lt;TODAY(),"Atrasado",IF(A74=TODAY(),"Hoje","Futuro")))</x:f>
        <x:v>Futuro</x:v>
      </x:c>
      <x:c r="J74" s="43" t="n">
        <x:f>IF(OR(E74="Concluído",A74&gt;=TODAY()),0,TODAY()-A74)</x:f>
        <x:v>0</x:v>
      </x:c>
      <x:c r="K74" s="40" t="str"/>
    </x:row>
    <x:row r="75">
      <x:c r="A75" s="34" t="n">
        <x:v>46235</x:v>
      </x:c>
      <x:c r="B75" s="40" t="str">
        <x:v>Banco de Dados</x:v>
      </x:c>
      <x:c r="C75" s="40" t="str">
        <x:v>2 - Consultas e Comandos em SQL</x:v>
      </x:c>
      <x:c r="D75" s="40" t="str">
        <x:v>Pdf</x:v>
      </x:c>
      <x:c r="E75" s="40" t="str">
        <x:v>Não iniciado</x:v>
      </x:c>
      <x:c r="F75" s="41" t="str"/>
      <x:c r="G75" s="42" t="str"/>
      <x:c r="H75" s="40" t="str">
        <x:v>Normal</x:v>
      </x:c>
      <x:c r="I75" s="40" t="str">
        <x:f>IF(E75="Concluído","Concluído",IF(A75&lt;TODAY(),"Atrasado",IF(A75=TODAY(),"Hoje","Futuro")))</x:f>
        <x:v>Futuro</x:v>
      </x:c>
      <x:c r="J75" s="43" t="n">
        <x:f>IF(OR(E75="Concluído",A75&gt;=TODAY()),0,TODAY()-A75)</x:f>
        <x:v>0</x:v>
      </x:c>
      <x:c r="K75" s="40" t="str"/>
    </x:row>
    <x:row r="76">
      <x:c r="A76" s="34" t="n">
        <x:v>46235</x:v>
      </x:c>
      <x:c r="B76" s="40" t="str">
        <x:v>Inteligência Emocional</x:v>
      </x:c>
      <x:c r="C76" s="40" t="str">
        <x:v>2 - ELO 2: A Aprendizagem Depende das suas Emoções</x:v>
      </x:c>
      <x:c r="D76" s="40" t="str">
        <x:v>Pdf</x:v>
      </x:c>
      <x:c r="E76" s="40" t="str">
        <x:v>Não iniciado</x:v>
      </x:c>
      <x:c r="F76" s="41" t="str"/>
      <x:c r="G76" s="42" t="str"/>
      <x:c r="H76" s="40" t="str">
        <x:v>Normal</x:v>
      </x:c>
      <x:c r="I76" s="40" t="str">
        <x:f>IF(E76="Concluído","Concluído",IF(A76&lt;TODAY(),"Atrasado",IF(A76=TODAY(),"Hoje","Futuro")))</x:f>
        <x:v>Futuro</x:v>
      </x:c>
      <x:c r="J76" s="43" t="n">
        <x:f>IF(OR(E76="Concluído",A76&gt;=TODAY()),0,TODAY()-A76)</x:f>
        <x:v>0</x:v>
      </x:c>
      <x:c r="K76" s="40" t="str"/>
    </x:row>
    <x:row r="77">
      <x:c r="A77" s="34" t="n">
        <x:v>46235</x:v>
      </x:c>
      <x:c r="B77" s="40" t="str">
        <x:v>Língua Portuguesa</x:v>
      </x:c>
      <x:c r="C77" s="40" t="str">
        <x:v>4 - Funções da Linguagem</x:v>
      </x:c>
      <x:c r="D77" s="40" t="str">
        <x:v>Videoaula</x:v>
      </x:c>
      <x:c r="E77" s="40" t="str">
        <x:v>Não iniciado</x:v>
      </x:c>
      <x:c r="F77" s="41" t="str"/>
      <x:c r="G77" s="42" t="str"/>
      <x:c r="H77" s="40" t="str">
        <x:v>Normal</x:v>
      </x:c>
      <x:c r="I77" s="40" t="str">
        <x:f>IF(E77="Concluído","Concluído",IF(A77&lt;TODAY(),"Atrasado",IF(A77=TODAY(),"Hoje","Futuro")))</x:f>
        <x:v>Futuro</x:v>
      </x:c>
      <x:c r="J77" s="43" t="n">
        <x:f>IF(OR(E77="Concluído",A77&gt;=TODAY()),0,TODAY()-A77)</x:f>
        <x:v>0</x:v>
      </x:c>
      <x:c r="K77" s="40" t="str"/>
    </x:row>
    <x:row r="78">
      <x:c r="A78" s="34" t="n">
        <x:v>46236</x:v>
      </x:c>
      <x:c r="B78" s="40" t="str">
        <x:v>Língua Portuguesa</x:v>
      </x:c>
      <x:c r="C78" s="40" t="str">
        <x:v>4 - Funções da Linguagem</x:v>
      </x:c>
      <x:c r="D78" s="40" t="str">
        <x:v>Videoaula</x:v>
      </x:c>
      <x:c r="E78" s="40" t="str">
        <x:v>Não iniciado</x:v>
      </x:c>
      <x:c r="F78" s="41" t="str"/>
      <x:c r="G78" s="42" t="str"/>
      <x:c r="H78" s="40" t="str">
        <x:v>Normal</x:v>
      </x:c>
      <x:c r="I78" s="40" t="str">
        <x:f>IF(E78="Concluído","Concluído",IF(A78&lt;TODAY(),"Atrasado",IF(A78=TODAY(),"Hoje","Futuro")))</x:f>
        <x:v>Futuro</x:v>
      </x:c>
      <x:c r="J78" s="43" t="n">
        <x:f>IF(OR(E78="Concluído",A78&gt;=TODAY()),0,TODAY()-A78)</x:f>
        <x:v>0</x:v>
      </x:c>
      <x:c r="K78" s="40" t="str"/>
    </x:row>
    <x:row r="79">
      <x:c r="A79" s="34" t="n">
        <x:v>46236</x:v>
      </x:c>
      <x:c r="B79" s="40" t="str">
        <x:v>Língua Portuguesa</x:v>
      </x:c>
      <x:c r="C79" s="40" t="str">
        <x:v>5 - Marcas de Textualidade: Coesão, Coerência e Intertextualidade</x:v>
      </x:c>
      <x:c r="D79" s="40" t="str">
        <x:v>Videoaula</x:v>
      </x:c>
      <x:c r="E79" s="40" t="str">
        <x:v>Não iniciado</x:v>
      </x:c>
      <x:c r="F79" s="41" t="str"/>
      <x:c r="G79" s="42" t="str"/>
      <x:c r="H79" s="40" t="str">
        <x:v>Normal</x:v>
      </x:c>
      <x:c r="I79" s="40" t="str">
        <x:f>IF(E79="Concluído","Concluído",IF(A79&lt;TODAY(),"Atrasado",IF(A79=TODAY(),"Hoje","Futuro")))</x:f>
        <x:v>Futuro</x:v>
      </x:c>
      <x:c r="J79" s="43" t="n">
        <x:f>IF(OR(E79="Concluído",A79&gt;=TODAY()),0,TODAY()-A79)</x:f>
        <x:v>0</x:v>
      </x:c>
      <x:c r="K79" s="40" t="str"/>
    </x:row>
    <x:row r="80">
      <x:c r="A80" s="34" t="n">
        <x:v>46236</x:v>
      </x:c>
      <x:c r="B80" s="40" t="str">
        <x:v>Língua Inglesa</x:v>
      </x:c>
      <x:c r="C80" s="40" t="str">
        <x:v>4 - Língua Inglesa - Coworking - Sharing How We Work IV</x:v>
      </x:c>
      <x:c r="D80" s="40" t="str">
        <x:v>Videoaula</x:v>
      </x:c>
      <x:c r="E80" s="40" t="str">
        <x:v>Não iniciado</x:v>
      </x:c>
      <x:c r="F80" s="41" t="str"/>
      <x:c r="G80" s="42" t="str"/>
      <x:c r="H80" s="40" t="str">
        <x:v>Normal</x:v>
      </x:c>
      <x:c r="I80" s="40" t="str">
        <x:f>IF(E80="Concluído","Concluído",IF(A80&lt;TODAY(),"Atrasado",IF(A80=TODAY(),"Hoje","Futuro")))</x:f>
        <x:v>Futuro</x:v>
      </x:c>
      <x:c r="J80" s="43" t="n">
        <x:f>IF(OR(E80="Concluído",A80&gt;=TODAY()),0,TODAY()-A80)</x:f>
        <x:v>0</x:v>
      </x:c>
      <x:c r="K80" s="40" t="str"/>
    </x:row>
    <x:row r="81">
      <x:c r="A81" s="34" t="n">
        <x:v>46236</x:v>
      </x:c>
      <x:c r="B81" s="40" t="str">
        <x:v>Língua Inglesa</x:v>
      </x:c>
      <x:c r="C81" s="40" t="str">
        <x:v>5 - Língua Inglesa - In a World Where Many Of Us - Part 01</x:v>
      </x:c>
      <x:c r="D81" s="40" t="str">
        <x:v>Videoaula</x:v>
      </x:c>
      <x:c r="E81" s="40" t="str">
        <x:v>Não iniciado</x:v>
      </x:c>
      <x:c r="F81" s="41" t="str"/>
      <x:c r="G81" s="42" t="str"/>
      <x:c r="H81" s="40" t="str">
        <x:v>Normal</x:v>
      </x:c>
      <x:c r="I81" s="40" t="str">
        <x:f>IF(E81="Concluído","Concluído",IF(A81&lt;TODAY(),"Atrasado",IF(A81=TODAY(),"Hoje","Futuro")))</x:f>
        <x:v>Futuro</x:v>
      </x:c>
      <x:c r="J81" s="43" t="n">
        <x:f>IF(OR(E81="Concluído",A81&gt;=TODAY()),0,TODAY()-A81)</x:f>
        <x:v>0</x:v>
      </x:c>
      <x:c r="K81" s="40" t="str"/>
    </x:row>
    <x:row r="82">
      <x:c r="A82" s="34" t="n">
        <x:v>46236</x:v>
      </x:c>
      <x:c r="B82" s="40" t="str">
        <x:v>Revisão</x:v>
      </x:c>
      <x:c r="C82" s="40" t="str">
        <x:v>Revisão</x:v>
      </x:c>
      <x:c r="D82" s="40" t="str">
        <x:v>Revisao</x:v>
      </x:c>
      <x:c r="E82" s="40" t="str">
        <x:v>Não iniciado</x:v>
      </x:c>
      <x:c r="F82" s="41" t="str"/>
      <x:c r="G82" s="42" t="str"/>
      <x:c r="H82" s="40" t="str">
        <x:v>Normal</x:v>
      </x:c>
      <x:c r="I82" s="40" t="str">
        <x:f>IF(E82="Concluído","Concluído",IF(A82&lt;TODAY(),"Atrasado",IF(A82=TODAY(),"Hoje","Futuro")))</x:f>
        <x:v>Futuro</x:v>
      </x:c>
      <x:c r="J82" s="43" t="n">
        <x:f>IF(OR(E82="Concluído",A82&gt;=TODAY()),0,TODAY()-A82)</x:f>
        <x:v>0</x:v>
      </x:c>
      <x:c r="K82" s="40" t="str"/>
    </x:row>
    <x:row r="83">
      <x:c r="A83" s="34" t="n">
        <x:v>46237</x:v>
      </x:c>
      <x:c r="B83" s="40" t="str">
        <x:v>Língua Inglesa</x:v>
      </x:c>
      <x:c r="C83" s="40" t="str">
        <x:v>5 - Língua Inglesa - In a World Where Many Of Us - Part 01</x:v>
      </x:c>
      <x:c r="D83" s="40" t="str">
        <x:v>Videoaula</x:v>
      </x:c>
      <x:c r="E83" s="40" t="str">
        <x:v>Não iniciado</x:v>
      </x:c>
      <x:c r="F83" s="41" t="str"/>
      <x:c r="G83" s="42" t="str"/>
      <x:c r="H83" s="40" t="str">
        <x:v>Normal</x:v>
      </x:c>
      <x:c r="I83" s="40" t="str">
        <x:f>IF(E83="Concluído","Concluído",IF(A83&lt;TODAY(),"Atrasado",IF(A83=TODAY(),"Hoje","Futuro")))</x:f>
        <x:v>Futuro</x:v>
      </x:c>
      <x:c r="J83" s="43" t="n">
        <x:f>IF(OR(E83="Concluído",A83&gt;=TODAY()),0,TODAY()-A83)</x:f>
        <x:v>0</x:v>
      </x:c>
      <x:c r="K83" s="40" t="str"/>
    </x:row>
    <x:row r="84">
      <x:c r="A84" s="34" t="n">
        <x:v>46237</x:v>
      </x:c>
      <x:c r="B84" s="40" t="str">
        <x:v>Raciocínio Lógico</x:v>
      </x:c>
      <x:c r="C84" s="40" t="str">
        <x:v>4 - Equivalências Lógicas</x:v>
      </x:c>
      <x:c r="D84" s="40" t="str">
        <x:v>Videoaula</x:v>
      </x:c>
      <x:c r="E84" s="40" t="str">
        <x:v>Não iniciado</x:v>
      </x:c>
      <x:c r="F84" s="41" t="str"/>
      <x:c r="G84" s="42" t="str"/>
      <x:c r="H84" s="40" t="str">
        <x:v>Normal</x:v>
      </x:c>
      <x:c r="I84" s="40" t="str">
        <x:f>IF(E84="Concluído","Concluído",IF(A84&lt;TODAY(),"Atrasado",IF(A84=TODAY(),"Hoje","Futuro")))</x:f>
        <x:v>Futuro</x:v>
      </x:c>
      <x:c r="J84" s="43" t="n">
        <x:f>IF(OR(E84="Concluído",A84&gt;=TODAY()),0,TODAY()-A84)</x:f>
        <x:v>0</x:v>
      </x:c>
      <x:c r="K84" s="40" t="str"/>
    </x:row>
    <x:row r="85">
      <x:c r="A85" s="34" t="n">
        <x:v>46237</x:v>
      </x:c>
      <x:c r="B85" s="40" t="str">
        <x:v>Raciocínio Lógico</x:v>
      </x:c>
      <x:c r="C85" s="40" t="str">
        <x:v>5 - Equivalência e Negações Proposições Categóricas</x:v>
      </x:c>
      <x:c r="D85" s="40" t="str">
        <x:v>Videoaula</x:v>
      </x:c>
      <x:c r="E85" s="40" t="str">
        <x:v>Não iniciado</x:v>
      </x:c>
      <x:c r="F85" s="41" t="str"/>
      <x:c r="G85" s="42" t="str"/>
      <x:c r="H85" s="40" t="str">
        <x:v>Normal</x:v>
      </x:c>
      <x:c r="I85" s="40" t="str">
        <x:f>IF(E85="Concluído","Concluído",IF(A85&lt;TODAY(),"Atrasado",IF(A85=TODAY(),"Hoje","Futuro")))</x:f>
        <x:v>Futuro</x:v>
      </x:c>
      <x:c r="J85" s="43" t="n">
        <x:f>IF(OR(E85="Concluído",A85&gt;=TODAY()),0,TODAY()-A85)</x:f>
        <x:v>0</x:v>
      </x:c>
      <x:c r="K85" s="40" t="str"/>
    </x:row>
    <x:row r="86">
      <x:c r="A86" s="34" t="n">
        <x:v>46237</x:v>
      </x:c>
      <x:c r="B86" s="40" t="str">
        <x:v>Atualidades e Inteligência Artificial</x:v>
      </x:c>
      <x:c r="C86" s="40" t="str">
        <x:v>4 - Fontes de Energia II</x:v>
      </x:c>
      <x:c r="D86" s="40" t="str">
        <x:v>Videoaula</x:v>
      </x:c>
      <x:c r="E86" s="40" t="str">
        <x:v>Não iniciado</x:v>
      </x:c>
      <x:c r="F86" s="41" t="str"/>
      <x:c r="G86" s="42" t="str"/>
      <x:c r="H86" s="40" t="str">
        <x:v>Normal</x:v>
      </x:c>
      <x:c r="I86" s="40" t="str">
        <x:f>IF(E86="Concluído","Concluído",IF(A86&lt;TODAY(),"Atrasado",IF(A86=TODAY(),"Hoje","Futuro")))</x:f>
        <x:v>Futuro</x:v>
      </x:c>
      <x:c r="J86" s="43" t="n">
        <x:f>IF(OR(E86="Concluído",A86&gt;=TODAY()),0,TODAY()-A86)</x:f>
        <x:v>0</x:v>
      </x:c>
      <x:c r="K86" s="40" t="str"/>
    </x:row>
    <x:row r="87">
      <x:c r="A87" s="34" t="n">
        <x:v>46238</x:v>
      </x:c>
      <x:c r="B87" s="40" t="str">
        <x:v>Atualidades e Inteligência Artificial</x:v>
      </x:c>
      <x:c r="C87" s="40" t="str">
        <x:v>4 - Fontes de Energia II</x:v>
      </x:c>
      <x:c r="D87" s="40" t="str">
        <x:v>Videoaula</x:v>
      </x:c>
      <x:c r="E87" s="40" t="str">
        <x:v>Não iniciado</x:v>
      </x:c>
      <x:c r="F87" s="41" t="str"/>
      <x:c r="G87" s="42" t="str"/>
      <x:c r="H87" s="40" t="str">
        <x:v>Normal</x:v>
      </x:c>
      <x:c r="I87" s="40" t="str">
        <x:f>IF(E87="Concluído","Concluído",IF(A87&lt;TODAY(),"Atrasado",IF(A87=TODAY(),"Hoje","Futuro")))</x:f>
        <x:v>Futuro</x:v>
      </x:c>
      <x:c r="J87" s="43" t="n">
        <x:f>IF(OR(E87="Concluído",A87&gt;=TODAY()),0,TODAY()-A87)</x:f>
        <x:v>0</x:v>
      </x:c>
      <x:c r="K87" s="40" t="str"/>
    </x:row>
    <x:row r="88">
      <x:c r="A88" s="34" t="n">
        <x:v>46238</x:v>
      </x:c>
      <x:c r="B88" s="40" t="str">
        <x:v>Atualidades e Inteligência Artificial</x:v>
      </x:c>
      <x:c r="C88" s="40" t="str">
        <x:v>5 - Saúde</x:v>
      </x:c>
      <x:c r="D88" s="40" t="str">
        <x:v>Videoaula</x:v>
      </x:c>
      <x:c r="E88" s="40" t="str">
        <x:v>Não iniciado</x:v>
      </x:c>
      <x:c r="F88" s="41" t="str"/>
      <x:c r="G88" s="42" t="str"/>
      <x:c r="H88" s="40" t="str">
        <x:v>Normal</x:v>
      </x:c>
      <x:c r="I88" s="40" t="str">
        <x:f>IF(E88="Concluído","Concluído",IF(A88&lt;TODAY(),"Atrasado",IF(A88=TODAY(),"Hoje","Futuro")))</x:f>
        <x:v>Futuro</x:v>
      </x:c>
      <x:c r="J88" s="43" t="n">
        <x:f>IF(OR(E88="Concluído",A88&gt;=TODAY()),0,TODAY()-A88)</x:f>
        <x:v>0</x:v>
      </x:c>
      <x:c r="K88" s="40" t="str"/>
    </x:row>
    <x:row r="89">
      <x:c r="A89" s="34" t="n">
        <x:v>46238</x:v>
      </x:c>
      <x:c r="B89" s="40" t="str">
        <x:v>Legislação Acerca de Segurança da Informação e Proteção de Dados</x:v>
      </x:c>
      <x:c r="C89" s="40" t="str">
        <x:v>5 - Lei nº 12.527/2011 - Lei de Acesso à Informação - Classificações das Informações</x:v>
      </x:c>
      <x:c r="D89" s="40" t="str">
        <x:v>Videoaula</x:v>
      </x:c>
      <x:c r="E89" s="40" t="str">
        <x:v>Não iniciado</x:v>
      </x:c>
      <x:c r="F89" s="41" t="str"/>
      <x:c r="G89" s="42" t="str"/>
      <x:c r="H89" s="40" t="str">
        <x:v>Normal</x:v>
      </x:c>
      <x:c r="I89" s="40" t="str">
        <x:f>IF(E89="Concluído","Concluído",IF(A89&lt;TODAY(),"Atrasado",IF(A89=TODAY(),"Hoje","Futuro")))</x:f>
        <x:v>Futuro</x:v>
      </x:c>
      <x:c r="J89" s="43" t="n">
        <x:f>IF(OR(E89="Concluído",A89&gt;=TODAY()),0,TODAY()-A89)</x:f>
        <x:v>0</x:v>
      </x:c>
      <x:c r="K89" s="40" t="str"/>
    </x:row>
    <x:row r="90">
      <x:c r="A90" s="34" t="n">
        <x:v>46238</x:v>
      </x:c>
      <x:c r="B90" s="40" t="str">
        <x:v>Legislação Acerca de Segurança da Informação e Proteção de Dados</x:v>
      </x:c>
      <x:c r="C90" s="40" t="str">
        <x:v>6 - Lei nº 12.527/2011 - Lei de Acesso à Informação - Disposições Finais</x:v>
      </x:c>
      <x:c r="D90" s="40" t="str">
        <x:v>Videoaula</x:v>
      </x:c>
      <x:c r="E90" s="40" t="str">
        <x:v>Não iniciado</x:v>
      </x:c>
      <x:c r="F90" s="41" t="str"/>
      <x:c r="G90" s="42" t="str"/>
      <x:c r="H90" s="40" t="str">
        <x:v>Normal</x:v>
      </x:c>
      <x:c r="I90" s="40" t="str">
        <x:f>IF(E90="Concluído","Concluído",IF(A90&lt;TODAY(),"Atrasado",IF(A90=TODAY(),"Hoje","Futuro")))</x:f>
        <x:v>Futuro</x:v>
      </x:c>
      <x:c r="J90" s="43" t="n">
        <x:f>IF(OR(E90="Concluído",A90&gt;=TODAY()),0,TODAY()-A90)</x:f>
        <x:v>0</x:v>
      </x:c>
      <x:c r="K90" s="40" t="str"/>
    </x:row>
    <x:row r="91">
      <x:c r="A91" s="34" t="n">
        <x:v>46238</x:v>
      </x:c>
      <x:c r="B91" s="40" t="str">
        <x:v>Gestão e Governança de Tecnologia da Informação</x:v>
      </x:c>
      <x:c r="C91" s="40" t="str">
        <x:v>4 - Lei 13.303/2016 - Lei das Estatais - Requisitos de Transparência</x:v>
      </x:c>
      <x:c r="D91" s="40" t="str">
        <x:v>Videoaula</x:v>
      </x:c>
      <x:c r="E91" s="40" t="str">
        <x:v>Não iniciado</x:v>
      </x:c>
      <x:c r="F91" s="41" t="str"/>
      <x:c r="G91" s="42" t="str"/>
      <x:c r="H91" s="40" t="str">
        <x:v>Normal</x:v>
      </x:c>
      <x:c r="I91" s="40" t="str">
        <x:f>IF(E91="Concluído","Concluído",IF(A91&lt;TODAY(),"Atrasado",IF(A91=TODAY(),"Hoje","Futuro")))</x:f>
        <x:v>Futuro</x:v>
      </x:c>
      <x:c r="J91" s="43" t="n">
        <x:f>IF(OR(E91="Concluído",A91&gt;=TODAY()),0,TODAY()-A91)</x:f>
        <x:v>0</x:v>
      </x:c>
      <x:c r="K91" s="40" t="str"/>
    </x:row>
    <x:row r="92">
      <x:c r="A92" s="34" t="n">
        <x:v>46239</x:v>
      </x:c>
      <x:c r="B92" s="40" t="str">
        <x:v>Gestão e Governança de Tecnologia da Informação</x:v>
      </x:c>
      <x:c r="C92" s="40" t="str">
        <x:v>4 - Lei 13.303/2016 - Lei das Estatais - Requisitos de Transparência</x:v>
      </x:c>
      <x:c r="D92" s="40" t="str">
        <x:v>Videoaula</x:v>
      </x:c>
      <x:c r="E92" s="40" t="str">
        <x:v>Não iniciado</x:v>
      </x:c>
      <x:c r="F92" s="41" t="str"/>
      <x:c r="G92" s="42" t="str"/>
      <x:c r="H92" s="40" t="str">
        <x:v>Normal</x:v>
      </x:c>
      <x:c r="I92" s="40" t="str">
        <x:f>IF(E92="Concluído","Concluído",IF(A92&lt;TODAY(),"Atrasado",IF(A92=TODAY(),"Hoje","Futuro")))</x:f>
        <x:v>Futuro</x:v>
      </x:c>
      <x:c r="J92" s="43" t="n">
        <x:f>IF(OR(E92="Concluído",A92&gt;=TODAY()),0,TODAY()-A92)</x:f>
        <x:v>0</x:v>
      </x:c>
      <x:c r="K92" s="40" t="str"/>
    </x:row>
    <x:row r="93">
      <x:c r="A93" s="34" t="n">
        <x:v>46239</x:v>
      </x:c>
      <x:c r="B93" s="40" t="str">
        <x:v>Gestão e Governança de Tecnologia da Informação</x:v>
      </x:c>
      <x:c r="C93" s="40" t="str">
        <x:v>5 - Lei 13.303/2016 - Lei das Estatais - Regras do CONSAD</x:v>
      </x:c>
      <x:c r="D93" s="40" t="str">
        <x:v>Videoaula</x:v>
      </x:c>
      <x:c r="E93" s="40" t="str">
        <x:v>Não iniciado</x:v>
      </x:c>
      <x:c r="F93" s="41" t="str"/>
      <x:c r="G93" s="42" t="str"/>
      <x:c r="H93" s="40" t="str">
        <x:v>Normal</x:v>
      </x:c>
      <x:c r="I93" s="40" t="str">
        <x:f>IF(E93="Concluído","Concluído",IF(A93&lt;TODAY(),"Atrasado",IF(A93=TODAY(),"Hoje","Futuro")))</x:f>
        <x:v>Futuro</x:v>
      </x:c>
      <x:c r="J93" s="43" t="n">
        <x:f>IF(OR(E93="Concluído",A93&gt;=TODAY()),0,TODAY()-A93)</x:f>
        <x:v>0</x:v>
      </x:c>
      <x:c r="K93" s="40" t="str"/>
    </x:row>
    <x:row r="94">
      <x:c r="A94" s="34" t="n">
        <x:v>46239</x:v>
      </x:c>
      <x:c r="B94" s="40" t="str">
        <x:v>Suporte e Infraestrutura</x:v>
      </x:c>
      <x:c r="C94" s="40" t="str">
        <x:v>2 - IPSEC - Internet Protocol Security</x:v>
      </x:c>
      <x:c r="D94" s="40" t="str">
        <x:v>Videoaula</x:v>
      </x:c>
      <x:c r="E94" s="40" t="str">
        <x:v>Não iniciado</x:v>
      </x:c>
      <x:c r="F94" s="41" t="str"/>
      <x:c r="G94" s="42" t="str"/>
      <x:c r="H94" s="40" t="str">
        <x:v>Normal</x:v>
      </x:c>
      <x:c r="I94" s="40" t="str">
        <x:f>IF(E94="Concluído","Concluído",IF(A94&lt;TODAY(),"Atrasado",IF(A94=TODAY(),"Hoje","Futuro")))</x:f>
        <x:v>Futuro</x:v>
      </x:c>
      <x:c r="J94" s="43" t="n">
        <x:f>IF(OR(E94="Concluído",A94&gt;=TODAY()),0,TODAY()-A94)</x:f>
        <x:v>0</x:v>
      </x:c>
      <x:c r="K94" s="40" t="str"/>
    </x:row>
    <x:row r="95">
      <x:c r="A95" s="34" t="n">
        <x:v>46239</x:v>
      </x:c>
      <x:c r="B95" s="40" t="str">
        <x:v>Suporte e Infraestrutura</x:v>
      </x:c>
      <x:c r="C95" s="40" t="str">
        <x:v>3 - IPSEC - Internet Protocol Security II</x:v>
      </x:c>
      <x:c r="D95" s="40" t="str">
        <x:v>Videoaula</x:v>
      </x:c>
      <x:c r="E95" s="40" t="str">
        <x:v>Não iniciado</x:v>
      </x:c>
      <x:c r="F95" s="41" t="str"/>
      <x:c r="G95" s="42" t="str"/>
      <x:c r="H95" s="40" t="str">
        <x:v>Normal</x:v>
      </x:c>
      <x:c r="I95" s="40" t="str">
        <x:f>IF(E95="Concluído","Concluído",IF(A95&lt;TODAY(),"Atrasado",IF(A95=TODAY(),"Hoje","Futuro")))</x:f>
        <x:v>Futuro</x:v>
      </x:c>
      <x:c r="J95" s="43" t="n">
        <x:f>IF(OR(E95="Concluído",A95&gt;=TODAY()),0,TODAY()-A95)</x:f>
        <x:v>0</x:v>
      </x:c>
      <x:c r="K95" s="40" t="str"/>
    </x:row>
    <x:row r="96">
      <x:c r="A96" s="34" t="n">
        <x:v>46239</x:v>
      </x:c>
      <x:c r="B96" s="40" t="str">
        <x:v>Banco de Dados</x:v>
      </x:c>
      <x:c r="C96" s="40" t="str">
        <x:v>4 - Sistema de Banco de Dados Avançado - Gerenciamento de Transações III</x:v>
      </x:c>
      <x:c r="D96" s="40" t="str">
        <x:v>Videoaula</x:v>
      </x:c>
      <x:c r="E96" s="40" t="str">
        <x:v>Não iniciado</x:v>
      </x:c>
      <x:c r="F96" s="41" t="str"/>
      <x:c r="G96" s="42" t="str"/>
      <x:c r="H96" s="40" t="str">
        <x:v>Normal</x:v>
      </x:c>
      <x:c r="I96" s="40" t="str">
        <x:f>IF(E96="Concluído","Concluído",IF(A96&lt;TODAY(),"Atrasado",IF(A96=TODAY(),"Hoje","Futuro")))</x:f>
        <x:v>Futuro</x:v>
      </x:c>
      <x:c r="J96" s="43" t="n">
        <x:f>IF(OR(E96="Concluído",A96&gt;=TODAY()),0,TODAY()-A96)</x:f>
        <x:v>0</x:v>
      </x:c>
      <x:c r="K96" s="40" t="str"/>
    </x:row>
    <x:row r="97">
      <x:c r="A97" s="34" t="n">
        <x:v>46240</x:v>
      </x:c>
      <x:c r="B97" s="40" t="str">
        <x:v>Banco de Dados</x:v>
      </x:c>
      <x:c r="C97" s="40" t="str">
        <x:v>4 - Sistema de Banco de Dados Avançado - Gerenciamento de Transações III</x:v>
      </x:c>
      <x:c r="D97" s="40" t="str">
        <x:v>Videoaula</x:v>
      </x:c>
      <x:c r="E97" s="40" t="str">
        <x:v>Não iniciado</x:v>
      </x:c>
      <x:c r="F97" s="41" t="str"/>
      <x:c r="G97" s="42" t="str"/>
      <x:c r="H97" s="40" t="str">
        <x:v>Normal</x:v>
      </x:c>
      <x:c r="I97" s="40" t="str">
        <x:f>IF(E97="Concluído","Concluído",IF(A97&lt;TODAY(),"Atrasado",IF(A97=TODAY(),"Hoje","Futuro")))</x:f>
        <x:v>Futuro</x:v>
      </x:c>
      <x:c r="J97" s="43" t="n">
        <x:f>IF(OR(E97="Concluído",A97&gt;=TODAY()),0,TODAY()-A97)</x:f>
        <x:v>0</x:v>
      </x:c>
      <x:c r="K97" s="40" t="str"/>
    </x:row>
    <x:row r="98">
      <x:c r="A98" s="34" t="n">
        <x:v>46240</x:v>
      </x:c>
      <x:c r="B98" s="40" t="str">
        <x:v>Banco de Dados</x:v>
      </x:c>
      <x:c r="C98" s="40" t="str">
        <x:v>5 - Sistema de Banco de Dados Avançado - Álgebra Relacional</x:v>
      </x:c>
      <x:c r="D98" s="40" t="str">
        <x:v>Videoaula</x:v>
      </x:c>
      <x:c r="E98" s="40" t="str">
        <x:v>Não iniciado</x:v>
      </x:c>
      <x:c r="F98" s="41" t="str"/>
      <x:c r="G98" s="42" t="str"/>
      <x:c r="H98" s="40" t="str">
        <x:v>Normal</x:v>
      </x:c>
      <x:c r="I98" s="40" t="str">
        <x:f>IF(E98="Concluído","Concluído",IF(A98&lt;TODAY(),"Atrasado",IF(A98=TODAY(),"Hoje","Futuro")))</x:f>
        <x:v>Futuro</x:v>
      </x:c>
      <x:c r="J98" s="43" t="n">
        <x:f>IF(OR(E98="Concluído",A98&gt;=TODAY()),0,TODAY()-A98)</x:f>
        <x:v>0</x:v>
      </x:c>
      <x:c r="K98" s="40" t="str"/>
    </x:row>
    <x:row r="99">
      <x:c r="A99" s="34" t="n">
        <x:v>46240</x:v>
      </x:c>
      <x:c r="B99" s="40" t="str">
        <x:v>Bônus - Inteligência e Equilíbrio Emocional</x:v>
      </x:c>
      <x:c r="C99" s="40" t="str">
        <x:v>5 - Procrastinação</x:v>
      </x:c>
      <x:c r="D99" s="40" t="str">
        <x:v>Videoaula</x:v>
      </x:c>
      <x:c r="E99" s="40" t="str">
        <x:v>Não iniciado</x:v>
      </x:c>
      <x:c r="F99" s="41" t="str"/>
      <x:c r="G99" s="42" t="str"/>
      <x:c r="H99" s="40" t="str">
        <x:v>Normal</x:v>
      </x:c>
      <x:c r="I99" s="40" t="str">
        <x:f>IF(E99="Concluído","Concluído",IF(A99&lt;TODAY(),"Atrasado",IF(A99=TODAY(),"Hoje","Futuro")))</x:f>
        <x:v>Futuro</x:v>
      </x:c>
      <x:c r="J99" s="43" t="n">
        <x:f>IF(OR(E99="Concluído",A99&gt;=TODAY()),0,TODAY()-A99)</x:f>
        <x:v>0</x:v>
      </x:c>
      <x:c r="K99" s="40" t="str"/>
    </x:row>
    <x:row r="100">
      <x:c r="A100" s="34" t="n">
        <x:v>46240</x:v>
      </x:c>
      <x:c r="B100" s="40" t="str">
        <x:v>Bônus - Inteligência e Equilíbrio Emocional</x:v>
      </x:c>
      <x:c r="C100" s="40" t="str">
        <x:v>6 - Procrastinação II</x:v>
      </x:c>
      <x:c r="D100" s="40" t="str">
        <x:v>Videoaula</x:v>
      </x:c>
      <x:c r="E100" s="40" t="str">
        <x:v>Não iniciado</x:v>
      </x:c>
      <x:c r="F100" s="41" t="str"/>
      <x:c r="G100" s="42" t="str"/>
      <x:c r="H100" s="40" t="str">
        <x:v>Normal</x:v>
      </x:c>
      <x:c r="I100" s="40" t="str">
        <x:f>IF(E100="Concluído","Concluído",IF(A100&lt;TODAY(),"Atrasado",IF(A100=TODAY(),"Hoje","Futuro")))</x:f>
        <x:v>Futuro</x:v>
      </x:c>
      <x:c r="J100" s="43" t="n">
        <x:f>IF(OR(E100="Concluído",A100&gt;=TODAY()),0,TODAY()-A100)</x:f>
        <x:v>0</x:v>
      </x:c>
      <x:c r="K100" s="40" t="str"/>
    </x:row>
    <x:row r="101">
      <x:c r="A101" s="34" t="n">
        <x:v>46240</x:v>
      </x:c>
      <x:c r="B101" s="40" t="str">
        <x:v>Língua Portuguesa</x:v>
      </x:c>
      <x:c r="C101" s="40" t="str">
        <x:v>3 - Tipologias e Gêneros Textuais</x:v>
      </x:c>
      <x:c r="D101" s="40" t="str">
        <x:v>Pdf</x:v>
      </x:c>
      <x:c r="E101" s="40" t="str">
        <x:v>Não iniciado</x:v>
      </x:c>
      <x:c r="F101" s="41" t="str"/>
      <x:c r="G101" s="42" t="str"/>
      <x:c r="H101" s="40" t="str">
        <x:v>Normal</x:v>
      </x:c>
      <x:c r="I101" s="40" t="str">
        <x:f>IF(E101="Concluído","Concluído",IF(A101&lt;TODAY(),"Atrasado",IF(A101=TODAY(),"Hoje","Futuro")))</x:f>
        <x:v>Futuro</x:v>
      </x:c>
      <x:c r="J101" s="43" t="n">
        <x:f>IF(OR(E101="Concluído",A101&gt;=TODAY()),0,TODAY()-A101)</x:f>
        <x:v>0</x:v>
      </x:c>
      <x:c r="K101" s="40" t="str"/>
    </x:row>
    <x:row r="102">
      <x:c r="A102" s="34" t="n">
        <x:v>46241</x:v>
      </x:c>
      <x:c r="B102" s="40" t="str">
        <x:v>Língua Portuguesa</x:v>
      </x:c>
      <x:c r="C102" s="40" t="str">
        <x:v>3 - Tipologias e Gêneros Textuais</x:v>
      </x:c>
      <x:c r="D102" s="40" t="str">
        <x:v>Pdf</x:v>
      </x:c>
      <x:c r="E102" s="40" t="str">
        <x:v>Não iniciado</x:v>
      </x:c>
      <x:c r="F102" s="41" t="str"/>
      <x:c r="G102" s="42" t="str"/>
      <x:c r="H102" s="40" t="str">
        <x:v>Normal</x:v>
      </x:c>
      <x:c r="I102" s="40" t="str">
        <x:f>IF(E102="Concluído","Concluído",IF(A102&lt;TODAY(),"Atrasado",IF(A102=TODAY(),"Hoje","Futuro")))</x:f>
        <x:v>Futuro</x:v>
      </x:c>
      <x:c r="J102" s="43" t="n">
        <x:f>IF(OR(E102="Concluído",A102&gt;=TODAY()),0,TODAY()-A102)</x:f>
        <x:v>0</x:v>
      </x:c>
      <x:c r="K102" s="40" t="str"/>
    </x:row>
    <x:row r="103">
      <x:c r="A103" s="34" t="n">
        <x:v>46242</x:v>
      </x:c>
      <x:c r="B103" s="40" t="str">
        <x:v>Língua Portuguesa</x:v>
      </x:c>
      <x:c r="C103" s="40" t="str">
        <x:v>3 - Tipologias e Gêneros Textuais</x:v>
      </x:c>
      <x:c r="D103" s="40" t="str">
        <x:v>Pdf</x:v>
      </x:c>
      <x:c r="E103" s="40" t="str">
        <x:v>Não iniciado</x:v>
      </x:c>
      <x:c r="F103" s="41" t="str"/>
      <x:c r="G103" s="42" t="str"/>
      <x:c r="H103" s="40" t="str">
        <x:v>Normal</x:v>
      </x:c>
      <x:c r="I103" s="40" t="str">
        <x:f>IF(E103="Concluído","Concluído",IF(A103&lt;TODAY(),"Atrasado",IF(A103=TODAY(),"Hoje","Futuro")))</x:f>
        <x:v>Futuro</x:v>
      </x:c>
      <x:c r="J103" s="43" t="n">
        <x:f>IF(OR(E103="Concluído",A103&gt;=TODAY()),0,TODAY()-A103)</x:f>
        <x:v>0</x:v>
      </x:c>
      <x:c r="K103" s="40" t="str"/>
    </x:row>
    <x:row r="104">
      <x:c r="A104" s="34" t="n">
        <x:v>46242</x:v>
      </x:c>
      <x:c r="B104" s="40" t="str">
        <x:v>Língua Inglesa</x:v>
      </x:c>
      <x:c r="C104" s="40" t="str">
        <x:v>3 - Vocabulário e Gramática - Parte II</x:v>
      </x:c>
      <x:c r="D104" s="40" t="str">
        <x:v>Pdf</x:v>
      </x:c>
      <x:c r="E104" s="40" t="str">
        <x:v>Não iniciado</x:v>
      </x:c>
      <x:c r="F104" s="41" t="str"/>
      <x:c r="G104" s="42" t="str"/>
      <x:c r="H104" s="40" t="str">
        <x:v>Normal</x:v>
      </x:c>
      <x:c r="I104" s="40" t="str">
        <x:f>IF(E104="Concluído","Concluído",IF(A104&lt;TODAY(),"Atrasado",IF(A104=TODAY(),"Hoje","Futuro")))</x:f>
        <x:v>Futuro</x:v>
      </x:c>
      <x:c r="J104" s="43" t="n">
        <x:f>IF(OR(E104="Concluído",A104&gt;=TODAY()),0,TODAY()-A104)</x:f>
        <x:v>0</x:v>
      </x:c>
      <x:c r="K104" s="40" t="str"/>
    </x:row>
    <x:row r="105">
      <x:c r="A105" s="34" t="n">
        <x:v>46243</x:v>
      </x:c>
      <x:c r="B105" s="40" t="str">
        <x:v>Língua Inglesa</x:v>
      </x:c>
      <x:c r="C105" s="40" t="str">
        <x:v>3 - Vocabulário e Gramática - Parte II</x:v>
      </x:c>
      <x:c r="D105" s="40" t="str">
        <x:v>Pdf</x:v>
      </x:c>
      <x:c r="E105" s="40" t="str">
        <x:v>Não iniciado</x:v>
      </x:c>
      <x:c r="F105" s="41" t="str"/>
      <x:c r="G105" s="42" t="str"/>
      <x:c r="H105" s="40" t="str">
        <x:v>Normal</x:v>
      </x:c>
      <x:c r="I105" s="40" t="str">
        <x:f>IF(E105="Concluído","Concluído",IF(A105&lt;TODAY(),"Atrasado",IF(A105=TODAY(),"Hoje","Futuro")))</x:f>
        <x:v>Futuro</x:v>
      </x:c>
      <x:c r="J105" s="43" t="n">
        <x:f>IF(OR(E105="Concluído",A105&gt;=TODAY()),0,TODAY()-A105)</x:f>
        <x:v>0</x:v>
      </x:c>
      <x:c r="K105" s="40" t="str"/>
    </x:row>
    <x:row r="106">
      <x:c r="A106" s="34" t="n">
        <x:v>46243</x:v>
      </x:c>
      <x:c r="B106" s="40" t="str">
        <x:v>Raciocínio Lógico</x:v>
      </x:c>
      <x:c r="C106" s="40" t="str">
        <x:v>3 - Negações de Proposições Compostas e Proposições Logicamente Equivalentes</x:v>
      </x:c>
      <x:c r="D106" s="40" t="str">
        <x:v>Pdf</x:v>
      </x:c>
      <x:c r="E106" s="40" t="str">
        <x:v>Não iniciado</x:v>
      </x:c>
      <x:c r="F106" s="41" t="str"/>
      <x:c r="G106" s="42" t="str"/>
      <x:c r="H106" s="40" t="str">
        <x:v>Normal</x:v>
      </x:c>
      <x:c r="I106" s="40" t="str">
        <x:f>IF(E106="Concluído","Concluído",IF(A106&lt;TODAY(),"Atrasado",IF(A106=TODAY(),"Hoje","Futuro")))</x:f>
        <x:v>Futuro</x:v>
      </x:c>
      <x:c r="J106" s="43" t="n">
        <x:f>IF(OR(E106="Concluído",A106&gt;=TODAY()),0,TODAY()-A106)</x:f>
        <x:v>0</x:v>
      </x:c>
      <x:c r="K106" s="40" t="str"/>
    </x:row>
    <x:row r="107">
      <x:c r="A107" s="34" t="n">
        <x:v>46243</x:v>
      </x:c>
      <x:c r="B107" s="40" t="str">
        <x:v>Atualidades e Inteligência Artificial</x:v>
      </x:c>
      <x:c r="C107" s="40" t="str">
        <x:v>1 - Inteligência Artificial</x:v>
      </x:c>
      <x:c r="D107" s="40" t="str">
        <x:v>Pdf</x:v>
      </x:c>
      <x:c r="E107" s="40" t="str">
        <x:v>Não iniciado</x:v>
      </x:c>
      <x:c r="F107" s="41" t="str"/>
      <x:c r="G107" s="42" t="str"/>
      <x:c r="H107" s="40" t="str">
        <x:v>Normal</x:v>
      </x:c>
      <x:c r="I107" s="40" t="str">
        <x:f>IF(E107="Concluído","Concluído",IF(A107&lt;TODAY(),"Atrasado",IF(A107=TODAY(),"Hoje","Futuro")))</x:f>
        <x:v>Futuro</x:v>
      </x:c>
      <x:c r="J107" s="43" t="n">
        <x:f>IF(OR(E107="Concluído",A107&gt;=TODAY()),0,TODAY()-A107)</x:f>
        <x:v>0</x:v>
      </x:c>
      <x:c r="K107" s="40" t="str"/>
    </x:row>
    <x:row r="108">
      <x:c r="A108" s="34" t="n">
        <x:v>46243</x:v>
      </x:c>
      <x:c r="B108" s="40" t="str">
        <x:v>Revisão</x:v>
      </x:c>
      <x:c r="C108" s="40" t="str">
        <x:v>Revisão</x:v>
      </x:c>
      <x:c r="D108" s="40" t="str">
        <x:v>Revisao</x:v>
      </x:c>
      <x:c r="E108" s="40" t="str">
        <x:v>Não iniciado</x:v>
      </x:c>
      <x:c r="F108" s="41" t="str"/>
      <x:c r="G108" s="42" t="str"/>
      <x:c r="H108" s="40" t="str">
        <x:v>Normal</x:v>
      </x:c>
      <x:c r="I108" s="40" t="str">
        <x:f>IF(E108="Concluído","Concluído",IF(A108&lt;TODAY(),"Atrasado",IF(A108=TODAY(),"Hoje","Futuro")))</x:f>
        <x:v>Futuro</x:v>
      </x:c>
      <x:c r="J108" s="43" t="n">
        <x:f>IF(OR(E108="Concluído",A108&gt;=TODAY()),0,TODAY()-A108)</x:f>
        <x:v>0</x:v>
      </x:c>
      <x:c r="K108" s="40" t="str"/>
    </x:row>
    <x:row r="109">
      <x:c r="A109" s="34" t="n">
        <x:v>46244</x:v>
      </x:c>
      <x:c r="B109" s="40" t="str">
        <x:v>Atualidades e Inteligência Artificial</x:v>
      </x:c>
      <x:c r="C109" s="40" t="str">
        <x:v>1 - Inteligência Artificial</x:v>
      </x:c>
      <x:c r="D109" s="40" t="str">
        <x:v>Pdf</x:v>
      </x:c>
      <x:c r="E109" s="40" t="str">
        <x:v>Não iniciado</x:v>
      </x:c>
      <x:c r="F109" s="41" t="str"/>
      <x:c r="G109" s="42" t="str"/>
      <x:c r="H109" s="40" t="str">
        <x:v>Normal</x:v>
      </x:c>
      <x:c r="I109" s="40" t="str">
        <x:f>IF(E109="Concluído","Concluído",IF(A109&lt;TODAY(),"Atrasado",IF(A109=TODAY(),"Hoje","Futuro")))</x:f>
        <x:v>Futuro</x:v>
      </x:c>
      <x:c r="J109" s="43" t="n">
        <x:f>IF(OR(E109="Concluído",A109&gt;=TODAY()),0,TODAY()-A109)</x:f>
        <x:v>0</x:v>
      </x:c>
      <x:c r="K109" s="40" t="str"/>
    </x:row>
    <x:row r="110">
      <x:c r="A110" s="34" t="n">
        <x:v>46244</x:v>
      </x:c>
      <x:c r="B110" s="40" t="str">
        <x:v>Legislação Acerca de Segurança da Informação e Proteção de Dados</x:v>
      </x:c>
      <x:c r="C110" s="40" t="str">
        <x:v>3 - Decreto n. 7.724/2012 - Acesso à Informação no Poder Executivo Federal</x:v>
      </x:c>
      <x:c r="D110" s="40" t="str">
        <x:v>Pdf</x:v>
      </x:c>
      <x:c r="E110" s="40" t="str">
        <x:v>Não iniciado</x:v>
      </x:c>
      <x:c r="F110" s="41" t="str"/>
      <x:c r="G110" s="42" t="str"/>
      <x:c r="H110" s="40" t="str">
        <x:v>Normal</x:v>
      </x:c>
      <x:c r="I110" s="40" t="str">
        <x:f>IF(E110="Concluído","Concluído",IF(A110&lt;TODAY(),"Atrasado",IF(A110=TODAY(),"Hoje","Futuro")))</x:f>
        <x:v>Futuro</x:v>
      </x:c>
      <x:c r="J110" s="43" t="n">
        <x:f>IF(OR(E110="Concluído",A110&gt;=TODAY()),0,TODAY()-A110)</x:f>
        <x:v>0</x:v>
      </x:c>
      <x:c r="K110" s="40" t="str"/>
    </x:row>
    <x:row r="111">
      <x:c r="A111" s="34" t="n">
        <x:v>46244</x:v>
      </x:c>
      <x:c r="B111" s="40" t="str">
        <x:v>Banco de Dados</x:v>
      </x:c>
      <x:c r="C111" s="40" t="str">
        <x:v>3 - VLANs e Segmentação Lógica de Redes</x:v>
      </x:c>
      <x:c r="D111" s="40" t="str">
        <x:v>Pdf</x:v>
      </x:c>
      <x:c r="E111" s="40" t="str">
        <x:v>Não iniciado</x:v>
      </x:c>
      <x:c r="F111" s="41" t="str"/>
      <x:c r="G111" s="42" t="str"/>
      <x:c r="H111" s="40" t="str">
        <x:v>Normal</x:v>
      </x:c>
      <x:c r="I111" s="40" t="str">
        <x:f>IF(E111="Concluído","Concluído",IF(A111&lt;TODAY(),"Atrasado",IF(A111=TODAY(),"Hoje","Futuro")))</x:f>
        <x:v>Futuro</x:v>
      </x:c>
      <x:c r="J111" s="43" t="n">
        <x:f>IF(OR(E111="Concluído",A111&gt;=TODAY()),0,TODAY()-A111)</x:f>
        <x:v>0</x:v>
      </x:c>
      <x:c r="K111" s="40" t="str"/>
    </x:row>
    <x:row r="112">
      <x:c r="A112" s="34" t="n">
        <x:v>46245</x:v>
      </x:c>
      <x:c r="B112" s="40" t="str">
        <x:v>Banco de Dados</x:v>
      </x:c>
      <x:c r="C112" s="40" t="str">
        <x:v>3 - VLANs e Segmentação Lógica de Redes</x:v>
      </x:c>
      <x:c r="D112" s="40" t="str">
        <x:v>Pdf</x:v>
      </x:c>
      <x:c r="E112" s="40" t="str">
        <x:v>Não iniciado</x:v>
      </x:c>
      <x:c r="F112" s="41" t="str"/>
      <x:c r="G112" s="42" t="str"/>
      <x:c r="H112" s="40" t="str">
        <x:v>Normal</x:v>
      </x:c>
      <x:c r="I112" s="40" t="str">
        <x:f>IF(E112="Concluído","Concluído",IF(A112&lt;TODAY(),"Atrasado",IF(A112=TODAY(),"Hoje","Futuro")))</x:f>
        <x:v>Futuro</x:v>
      </x:c>
      <x:c r="J112" s="43" t="n">
        <x:f>IF(OR(E112="Concluído",A112&gt;=TODAY()),0,TODAY()-A112)</x:f>
        <x:v>0</x:v>
      </x:c>
      <x:c r="K112" s="40" t="str"/>
    </x:row>
    <x:row r="113">
      <x:c r="A113" s="34" t="n">
        <x:v>46245</x:v>
      </x:c>
      <x:c r="B113" s="40" t="str">
        <x:v>Inteligência Emocional</x:v>
      </x:c>
      <x:c r="C113" s="40" t="str">
        <x:v>3 - ELO 3: As Cinco Pontas da Estrela do Concurseiro Aprovado</x:v>
      </x:c>
      <x:c r="D113" s="40" t="str">
        <x:v>Pdf</x:v>
      </x:c>
      <x:c r="E113" s="40" t="str">
        <x:v>Não iniciado</x:v>
      </x:c>
      <x:c r="F113" s="41" t="str"/>
      <x:c r="G113" s="42" t="str"/>
      <x:c r="H113" s="40" t="str">
        <x:v>Normal</x:v>
      </x:c>
      <x:c r="I113" s="40" t="str">
        <x:f>IF(E113="Concluído","Concluído",IF(A113&lt;TODAY(),"Atrasado",IF(A113=TODAY(),"Hoje","Futuro")))</x:f>
        <x:v>Futuro</x:v>
      </x:c>
      <x:c r="J113" s="43" t="n">
        <x:f>IF(OR(E113="Concluído",A113&gt;=TODAY()),0,TODAY()-A113)</x:f>
        <x:v>0</x:v>
      </x:c>
      <x:c r="K113" s="40" t="str"/>
    </x:row>
    <x:row r="114">
      <x:c r="A114" s="34" t="n">
        <x:v>46246</x:v>
      </x:c>
      <x:c r="B114" s="40" t="str">
        <x:v>Inteligência Emocional</x:v>
      </x:c>
      <x:c r="C114" s="40" t="str">
        <x:v>3 - ELO 3: As Cinco Pontas da Estrela do Concurseiro Aprovado</x:v>
      </x:c>
      <x:c r="D114" s="40" t="str">
        <x:v>Pdf</x:v>
      </x:c>
      <x:c r="E114" s="40" t="str">
        <x:v>Não iniciado</x:v>
      </x:c>
      <x:c r="F114" s="41" t="str"/>
      <x:c r="G114" s="42" t="str"/>
      <x:c r="H114" s="40" t="str">
        <x:v>Normal</x:v>
      </x:c>
      <x:c r="I114" s="40" t="str">
        <x:f>IF(E114="Concluído","Concluído",IF(A114&lt;TODAY(),"Atrasado",IF(A114=TODAY(),"Hoje","Futuro")))</x:f>
        <x:v>Futuro</x:v>
      </x:c>
      <x:c r="J114" s="43" t="n">
        <x:f>IF(OR(E114="Concluído",A114&gt;=TODAY()),0,TODAY()-A114)</x:f>
        <x:v>0</x:v>
      </x:c>
      <x:c r="K114" s="40" t="str"/>
    </x:row>
    <x:row r="115">
      <x:c r="A115" s="34" t="n">
        <x:v>46246</x:v>
      </x:c>
      <x:c r="B115" s="40" t="str">
        <x:v>Língua Portuguesa</x:v>
      </x:c>
      <x:c r="C115" s="40" t="str">
        <x:v>6 - Coesão Textual</x:v>
      </x:c>
      <x:c r="D115" s="40" t="str">
        <x:v>Videoaula</x:v>
      </x:c>
      <x:c r="E115" s="40" t="str">
        <x:v>Não iniciado</x:v>
      </x:c>
      <x:c r="F115" s="41" t="str"/>
      <x:c r="G115" s="42" t="str"/>
      <x:c r="H115" s="40" t="str">
        <x:v>Normal</x:v>
      </x:c>
      <x:c r="I115" s="40" t="str">
        <x:f>IF(E115="Concluído","Concluído",IF(A115&lt;TODAY(),"Atrasado",IF(A115=TODAY(),"Hoje","Futuro")))</x:f>
        <x:v>Futuro</x:v>
      </x:c>
      <x:c r="J115" s="43" t="n">
        <x:f>IF(OR(E115="Concluído",A115&gt;=TODAY()),0,TODAY()-A115)</x:f>
        <x:v>0</x:v>
      </x:c>
      <x:c r="K115" s="40" t="str"/>
    </x:row>
    <x:row r="116">
      <x:c r="A116" s="34" t="n">
        <x:v>46246</x:v>
      </x:c>
      <x:c r="B116" s="40" t="str">
        <x:v>Língua Portuguesa</x:v>
      </x:c>
      <x:c r="C116" s="40" t="str">
        <x:v>7 - Coesão Textual - Exercícios</x:v>
      </x:c>
      <x:c r="D116" s="40" t="str">
        <x:v>Videoaula</x:v>
      </x:c>
      <x:c r="E116" s="40" t="str">
        <x:v>Não iniciado</x:v>
      </x:c>
      <x:c r="F116" s="41" t="str"/>
      <x:c r="G116" s="42" t="str"/>
      <x:c r="H116" s="40" t="str">
        <x:v>Normal</x:v>
      </x:c>
      <x:c r="I116" s="40" t="str">
        <x:f>IF(E116="Concluído","Concluído",IF(A116&lt;TODAY(),"Atrasado",IF(A116=TODAY(),"Hoje","Futuro")))</x:f>
        <x:v>Futuro</x:v>
      </x:c>
      <x:c r="J116" s="43" t="n">
        <x:f>IF(OR(E116="Concluído",A116&gt;=TODAY()),0,TODAY()-A116)</x:f>
        <x:v>0</x:v>
      </x:c>
      <x:c r="K116" s="40" t="str"/>
    </x:row>
    <x:row r="117">
      <x:c r="A117" s="34" t="n">
        <x:v>46246</x:v>
      </x:c>
      <x:c r="B117" s="40" t="str">
        <x:v>Língua Inglesa</x:v>
      </x:c>
      <x:c r="C117" s="40" t="str">
        <x:v>6 - Língua Inglesa - In a World Where Many Of Us - Part 02</x:v>
      </x:c>
      <x:c r="D117" s="40" t="str">
        <x:v>Videoaula</x:v>
      </x:c>
      <x:c r="E117" s="40" t="str">
        <x:v>Não iniciado</x:v>
      </x:c>
      <x:c r="F117" s="41" t="str"/>
      <x:c r="G117" s="42" t="str"/>
      <x:c r="H117" s="40" t="str">
        <x:v>Normal</x:v>
      </x:c>
      <x:c r="I117" s="40" t="str">
        <x:f>IF(E117="Concluído","Concluído",IF(A117&lt;TODAY(),"Atrasado",IF(A117=TODAY(),"Hoje","Futuro")))</x:f>
        <x:v>Futuro</x:v>
      </x:c>
      <x:c r="J117" s="43" t="n">
        <x:f>IF(OR(E117="Concluído",A117&gt;=TODAY()),0,TODAY()-A117)</x:f>
        <x:v>0</x:v>
      </x:c>
      <x:c r="K117" s="40" t="str"/>
    </x:row>
    <x:row r="118">
      <x:c r="A118" s="34" t="n">
        <x:v>46247</x:v>
      </x:c>
      <x:c r="B118" s="40" t="str">
        <x:v>Língua Inglesa</x:v>
      </x:c>
      <x:c r="C118" s="40" t="str">
        <x:v>6 - Língua Inglesa - In a World Where Many Of Us - Part 02</x:v>
      </x:c>
      <x:c r="D118" s="40" t="str">
        <x:v>Videoaula</x:v>
      </x:c>
      <x:c r="E118" s="40" t="str">
        <x:v>Não iniciado</x:v>
      </x:c>
      <x:c r="F118" s="41" t="str"/>
      <x:c r="G118" s="42" t="str"/>
      <x:c r="H118" s="40" t="str">
        <x:v>Normal</x:v>
      </x:c>
      <x:c r="I118" s="40" t="str">
        <x:f>IF(E118="Concluído","Concluído",IF(A118&lt;TODAY(),"Atrasado",IF(A118=TODAY(),"Hoje","Futuro")))</x:f>
        <x:v>Futuro</x:v>
      </x:c>
      <x:c r="J118" s="43" t="n">
        <x:f>IF(OR(E118="Concluído",A118&gt;=TODAY()),0,TODAY()-A118)</x:f>
        <x:v>0</x:v>
      </x:c>
      <x:c r="K118" s="40" t="str"/>
    </x:row>
    <x:row r="119">
      <x:c r="A119" s="34" t="n">
        <x:v>46247</x:v>
      </x:c>
      <x:c r="B119" s="40" t="str">
        <x:v>Língua Inglesa</x:v>
      </x:c>
      <x:c r="C119" s="40" t="str">
        <x:v>7 - Língua Inglesa - The Wooden Floorboards</x:v>
      </x:c>
      <x:c r="D119" s="40" t="str">
        <x:v>Videoaula</x:v>
      </x:c>
      <x:c r="E119" s="40" t="str">
        <x:v>Não iniciado</x:v>
      </x:c>
      <x:c r="F119" s="41" t="str"/>
      <x:c r="G119" s="42" t="str"/>
      <x:c r="H119" s="40" t="str">
        <x:v>Normal</x:v>
      </x:c>
      <x:c r="I119" s="40" t="str">
        <x:f>IF(E119="Concluído","Concluído",IF(A119&lt;TODAY(),"Atrasado",IF(A119=TODAY(),"Hoje","Futuro")))</x:f>
        <x:v>Futuro</x:v>
      </x:c>
      <x:c r="J119" s="43" t="n">
        <x:f>IF(OR(E119="Concluído",A119&gt;=TODAY()),0,TODAY()-A119)</x:f>
        <x:v>0</x:v>
      </x:c>
      <x:c r="K119" s="40" t="str"/>
    </x:row>
    <x:row r="120">
      <x:c r="A120" s="34" t="n">
        <x:v>46247</x:v>
      </x:c>
      <x:c r="B120" s="40" t="str">
        <x:v>Raciocínio Lógico</x:v>
      </x:c>
      <x:c r="C120" s="40" t="str">
        <x:v>6 - Diagramas Lógicos</x:v>
      </x:c>
      <x:c r="D120" s="40" t="str">
        <x:v>Videoaula</x:v>
      </x:c>
      <x:c r="E120" s="40" t="str">
        <x:v>Não iniciado</x:v>
      </x:c>
      <x:c r="F120" s="41" t="str"/>
      <x:c r="G120" s="42" t="str"/>
      <x:c r="H120" s="40" t="str">
        <x:v>Normal</x:v>
      </x:c>
      <x:c r="I120" s="40" t="str">
        <x:f>IF(E120="Concluído","Concluído",IF(A120&lt;TODAY(),"Atrasado",IF(A120=TODAY(),"Hoje","Futuro")))</x:f>
        <x:v>Futuro</x:v>
      </x:c>
      <x:c r="J120" s="43" t="n">
        <x:f>IF(OR(E120="Concluído",A120&gt;=TODAY()),0,TODAY()-A120)</x:f>
        <x:v>0</x:v>
      </x:c>
      <x:c r="K120" s="40" t="str"/>
    </x:row>
    <x:row r="121">
      <x:c r="A121" s="34" t="n">
        <x:v>46247</x:v>
      </x:c>
      <x:c r="B121" s="40" t="str">
        <x:v>Raciocínio Lógico</x:v>
      </x:c>
      <x:c r="C121" s="40" t="str">
        <x:v>7 - Argumentação Lógica - Conceitos Iniciais</x:v>
      </x:c>
      <x:c r="D121" s="40" t="str">
        <x:v>Videoaula</x:v>
      </x:c>
      <x:c r="E121" s="40" t="str">
        <x:v>Não iniciado</x:v>
      </x:c>
      <x:c r="F121" s="41" t="str"/>
      <x:c r="G121" s="42" t="str"/>
      <x:c r="H121" s="40" t="str">
        <x:v>Normal</x:v>
      </x:c>
      <x:c r="I121" s="40" t="str">
        <x:f>IF(E121="Concluído","Concluído",IF(A121&lt;TODAY(),"Atrasado",IF(A121=TODAY(),"Hoje","Futuro")))</x:f>
        <x:v>Futuro</x:v>
      </x:c>
      <x:c r="J121" s="43" t="n">
        <x:f>IF(OR(E121="Concluído",A121&gt;=TODAY()),0,TODAY()-A121)</x:f>
        <x:v>0</x:v>
      </x:c>
      <x:c r="K121" s="40" t="str"/>
    </x:row>
    <x:row r="122">
      <x:c r="A122" s="34" t="n">
        <x:v>46248</x:v>
      </x:c>
      <x:c r="B122" s="40" t="str">
        <x:v>Raciocínio Lógico</x:v>
      </x:c>
      <x:c r="C122" s="40" t="str">
        <x:v>7 - Argumentação Lógica - Conceitos Iniciais</x:v>
      </x:c>
      <x:c r="D122" s="40" t="str">
        <x:v>Videoaula</x:v>
      </x:c>
      <x:c r="E122" s="40" t="str">
        <x:v>Não iniciado</x:v>
      </x:c>
      <x:c r="F122" s="41" t="str"/>
      <x:c r="G122" s="42" t="str"/>
      <x:c r="H122" s="40" t="str">
        <x:v>Normal</x:v>
      </x:c>
      <x:c r="I122" s="40" t="str">
        <x:f>IF(E122="Concluído","Concluído",IF(A122&lt;TODAY(),"Atrasado",IF(A122=TODAY(),"Hoje","Futuro")))</x:f>
        <x:v>Futuro</x:v>
      </x:c>
      <x:c r="J122" s="43" t="n">
        <x:f>IF(OR(E122="Concluído",A122&gt;=TODAY()),0,TODAY()-A122)</x:f>
        <x:v>0</x:v>
      </x:c>
      <x:c r="K122" s="40" t="str"/>
    </x:row>
    <x:row r="123">
      <x:c r="A123" s="34" t="n">
        <x:v>46248</x:v>
      </x:c>
      <x:c r="B123" s="40" t="str">
        <x:v>Atualidades e Inteligência Artificial</x:v>
      </x:c>
      <x:c r="C123" s="40" t="str">
        <x:v>6 - Saúde II</x:v>
      </x:c>
      <x:c r="D123" s="40" t="str">
        <x:v>Videoaula</x:v>
      </x:c>
      <x:c r="E123" s="40" t="str">
        <x:v>Não iniciado</x:v>
      </x:c>
      <x:c r="F123" s="41" t="str"/>
      <x:c r="G123" s="42" t="str"/>
      <x:c r="H123" s="40" t="str">
        <x:v>Normal</x:v>
      </x:c>
      <x:c r="I123" s="40" t="str">
        <x:f>IF(E123="Concluído","Concluído",IF(A123&lt;TODAY(),"Atrasado",IF(A123=TODAY(),"Hoje","Futuro")))</x:f>
        <x:v>Futuro</x:v>
      </x:c>
      <x:c r="J123" s="43" t="n">
        <x:f>IF(OR(E123="Concluído",A123&gt;=TODAY()),0,TODAY()-A123)</x:f>
        <x:v>0</x:v>
      </x:c>
      <x:c r="K123" s="40" t="str"/>
    </x:row>
    <x:row r="124">
      <x:c r="A124" s="34" t="n">
        <x:v>46248</x:v>
      </x:c>
      <x:c r="B124" s="40" t="str">
        <x:v>Atualidades e Inteligência Artificial</x:v>
      </x:c>
      <x:c r="C124" s="40" t="str">
        <x:v>7 - Educação</x:v>
      </x:c>
      <x:c r="D124" s="40" t="str">
        <x:v>Videoaula</x:v>
      </x:c>
      <x:c r="E124" s="40" t="str">
        <x:v>Não iniciado</x:v>
      </x:c>
      <x:c r="F124" s="41" t="str"/>
      <x:c r="G124" s="42" t="str"/>
      <x:c r="H124" s="40" t="str">
        <x:v>Normal</x:v>
      </x:c>
      <x:c r="I124" s="40" t="str">
        <x:f>IF(E124="Concluído","Concluído",IF(A124&lt;TODAY(),"Atrasado",IF(A124=TODAY(),"Hoje","Futuro")))</x:f>
        <x:v>Futuro</x:v>
      </x:c>
      <x:c r="J124" s="43" t="n">
        <x:f>IF(OR(E124="Concluído",A124&gt;=TODAY()),0,TODAY()-A124)</x:f>
        <x:v>0</x:v>
      </x:c>
      <x:c r="K124" s="40" t="str"/>
    </x:row>
    <x:row r="125">
      <x:c r="A125" s="34" t="n">
        <x:v>46248</x:v>
      </x:c>
      <x:c r="B125" s="40" t="str">
        <x:v>Legislação Acerca de Segurança da Informação e Proteção de Dados</x:v>
      </x:c>
      <x:c r="C125" s="40" t="str">
        <x:v>7 - Lei nº 12.527/2011 - Lei de Acesso à Informação - Atualização - Lei n. 15.141/2025</x:v>
      </x:c>
      <x:c r="D125" s="40" t="str">
        <x:v>Videoaula</x:v>
      </x:c>
      <x:c r="E125" s="40" t="str">
        <x:v>Não iniciado</x:v>
      </x:c>
      <x:c r="F125" s="41" t="str"/>
      <x:c r="G125" s="42" t="str"/>
      <x:c r="H125" s="40" t="str">
        <x:v>Normal</x:v>
      </x:c>
      <x:c r="I125" s="40" t="str">
        <x:f>IF(E125="Concluído","Concluído",IF(A125&lt;TODAY(),"Atrasado",IF(A125=TODAY(),"Hoje","Futuro")))</x:f>
        <x:v>Futuro</x:v>
      </x:c>
      <x:c r="J125" s="43" t="n">
        <x:f>IF(OR(E125="Concluído",A125&gt;=TODAY()),0,TODAY()-A125)</x:f>
        <x:v>0</x:v>
      </x:c>
      <x:c r="K125" s="40" t="str"/>
    </x:row>
    <x:row r="126">
      <x:c r="A126" s="34" t="n">
        <x:v>46248</x:v>
      </x:c>
      <x:c r="B126" s="40" t="str">
        <x:v>Legislação Acerca de Segurança da Informação e Proteção de Dados</x:v>
      </x:c>
      <x:c r="C126" s="40" t="str">
        <x:v>1 - Decreto nº 7.724/2012 - Art. 1º ao Art. 8º</x:v>
      </x:c>
      <x:c r="D126" s="40" t="str">
        <x:v>Videoaula</x:v>
      </x:c>
      <x:c r="E126" s="40" t="str">
        <x:v>Não iniciado</x:v>
      </x:c>
      <x:c r="F126" s="41" t="str"/>
      <x:c r="G126" s="42" t="str"/>
      <x:c r="H126" s="40" t="str">
        <x:v>Normal</x:v>
      </x:c>
      <x:c r="I126" s="40" t="str">
        <x:f>IF(E126="Concluído","Concluído",IF(A126&lt;TODAY(),"Atrasado",IF(A126=TODAY(),"Hoje","Futuro")))</x:f>
        <x:v>Futuro</x:v>
      </x:c>
      <x:c r="J126" s="43" t="n">
        <x:f>IF(OR(E126="Concluído",A126&gt;=TODAY()),0,TODAY()-A126)</x:f>
        <x:v>0</x:v>
      </x:c>
      <x:c r="K126" s="40" t="str"/>
    </x:row>
    <x:row r="127">
      <x:c r="A127" s="34" t="n">
        <x:v>46249</x:v>
      </x:c>
      <x:c r="B127" s="40" t="str">
        <x:v>Legislação Acerca de Segurança da Informação e Proteção de Dados</x:v>
      </x:c>
      <x:c r="C127" s="40" t="str">
        <x:v>1 - Decreto nº 7.724/2012 - Art. 1º ao Art. 8º</x:v>
      </x:c>
      <x:c r="D127" s="40" t="str">
        <x:v>Videoaula</x:v>
      </x:c>
      <x:c r="E127" s="40" t="str">
        <x:v>Não iniciado</x:v>
      </x:c>
      <x:c r="F127" s="41" t="str"/>
      <x:c r="G127" s="42" t="str"/>
      <x:c r="H127" s="40" t="str">
        <x:v>Normal</x:v>
      </x:c>
      <x:c r="I127" s="40" t="str">
        <x:f>IF(E127="Concluído","Concluído",IF(A127&lt;TODAY(),"Atrasado",IF(A127=TODAY(),"Hoje","Futuro")))</x:f>
        <x:v>Futuro</x:v>
      </x:c>
      <x:c r="J127" s="43" t="n">
        <x:f>IF(OR(E127="Concluído",A127&gt;=TODAY()),0,TODAY()-A127)</x:f>
        <x:v>0</x:v>
      </x:c>
      <x:c r="K127" s="40" t="str"/>
    </x:row>
    <x:row r="128">
      <x:c r="A128" s="34" t="n">
        <x:v>46249</x:v>
      </x:c>
      <x:c r="B128" s="40" t="str">
        <x:v>Gestão e Governança de Tecnologia da Informação</x:v>
      </x:c>
      <x:c r="C128" s="40" t="str">
        <x:v>6 - Lei 13.303/2016 - Lei das Estatais - Conselheiro Independente - CAE - Diretoria - COFINS</x:v>
      </x:c>
      <x:c r="D128" s="40" t="str">
        <x:v>Videoaula</x:v>
      </x:c>
      <x:c r="E128" s="40" t="str">
        <x:v>Não iniciado</x:v>
      </x:c>
      <x:c r="F128" s="41" t="str"/>
      <x:c r="G128" s="42" t="str"/>
      <x:c r="H128" s="40" t="str">
        <x:v>Normal</x:v>
      </x:c>
      <x:c r="I128" s="40" t="str">
        <x:f>IF(E128="Concluído","Concluído",IF(A128&lt;TODAY(),"Atrasado",IF(A128=TODAY(),"Hoje","Futuro")))</x:f>
        <x:v>Futuro</x:v>
      </x:c>
      <x:c r="J128" s="43" t="n">
        <x:f>IF(OR(E128="Concluído",A128&gt;=TODAY()),0,TODAY()-A128)</x:f>
        <x:v>0</x:v>
      </x:c>
      <x:c r="K128" s="40" t="str"/>
    </x:row>
    <x:row r="129">
      <x:c r="A129" s="34" t="n">
        <x:v>46249</x:v>
      </x:c>
      <x:c r="B129" s="40" t="str">
        <x:v>Gestão e Governança de Tecnologia da Informação</x:v>
      </x:c>
      <x:c r="C129" s="40" t="str">
        <x:v>7 - Lei 13.303/2016 - Modo de Disputa e Critério de Julgamento</x:v>
      </x:c>
      <x:c r="D129" s="40" t="str">
        <x:v>Videoaula</x:v>
      </x:c>
      <x:c r="E129" s="40" t="str">
        <x:v>Não iniciado</x:v>
      </x:c>
      <x:c r="F129" s="41" t="str"/>
      <x:c r="G129" s="42" t="str"/>
      <x:c r="H129" s="40" t="str">
        <x:v>Normal</x:v>
      </x:c>
      <x:c r="I129" s="40" t="str">
        <x:f>IF(E129="Concluído","Concluído",IF(A129&lt;TODAY(),"Atrasado",IF(A129=TODAY(),"Hoje","Futuro")))</x:f>
        <x:v>Futuro</x:v>
      </x:c>
      <x:c r="J129" s="43" t="n">
        <x:f>IF(OR(E129="Concluído",A129&gt;=TODAY()),0,TODAY()-A129)</x:f>
        <x:v>0</x:v>
      </x:c>
      <x:c r="K129" s="40" t="str"/>
    </x:row>
    <x:row r="130">
      <x:c r="A130" s="34" t="n">
        <x:v>46249</x:v>
      </x:c>
      <x:c r="B130" s="40" t="str">
        <x:v>Banco de Dados</x:v>
      </x:c>
      <x:c r="C130" s="40" t="str">
        <x:v>6 - Sistema de Banco de Dados Avançado - Álgebra Relacional II</x:v>
      </x:c>
      <x:c r="D130" s="40" t="str">
        <x:v>Videoaula</x:v>
      </x:c>
      <x:c r="E130" s="40" t="str">
        <x:v>Não iniciado</x:v>
      </x:c>
      <x:c r="F130" s="41" t="str"/>
      <x:c r="G130" s="42" t="str"/>
      <x:c r="H130" s="40" t="str">
        <x:v>Normal</x:v>
      </x:c>
      <x:c r="I130" s="40" t="str">
        <x:f>IF(E130="Concluído","Concluído",IF(A130&lt;TODAY(),"Atrasado",IF(A130=TODAY(),"Hoje","Futuro")))</x:f>
        <x:v>Futuro</x:v>
      </x:c>
      <x:c r="J130" s="43" t="n">
        <x:f>IF(OR(E130="Concluído",A130&gt;=TODAY()),0,TODAY()-A130)</x:f>
        <x:v>0</x:v>
      </x:c>
      <x:c r="K130" s="40" t="str"/>
    </x:row>
    <x:row r="131">
      <x:c r="A131" s="34" t="n">
        <x:v>46250</x:v>
      </x:c>
      <x:c r="B131" s="40" t="str">
        <x:v>Banco de Dados</x:v>
      </x:c>
      <x:c r="C131" s="40" t="str">
        <x:v>6 - Sistema de Banco de Dados Avançado - Álgebra Relacional II</x:v>
      </x:c>
      <x:c r="D131" s="40" t="str">
        <x:v>Videoaula</x:v>
      </x:c>
      <x:c r="E131" s="40" t="str">
        <x:v>Não iniciado</x:v>
      </x:c>
      <x:c r="F131" s="41" t="str"/>
      <x:c r="G131" s="42" t="str"/>
      <x:c r="H131" s="40" t="str">
        <x:v>Normal</x:v>
      </x:c>
      <x:c r="I131" s="40" t="str">
        <x:f>IF(E131="Concluído","Concluído",IF(A131&lt;TODAY(),"Atrasado",IF(A131=TODAY(),"Hoje","Futuro")))</x:f>
        <x:v>Futuro</x:v>
      </x:c>
      <x:c r="J131" s="43" t="n">
        <x:f>IF(OR(E131="Concluído",A131&gt;=TODAY()),0,TODAY()-A131)</x:f>
        <x:v>0</x:v>
      </x:c>
      <x:c r="K131" s="40" t="str"/>
    </x:row>
    <x:row r="132">
      <x:c r="A132" s="34" t="n">
        <x:v>46250</x:v>
      </x:c>
      <x:c r="B132" s="40" t="str">
        <x:v>Banco de Dados</x:v>
      </x:c>
      <x:c r="C132" s="40" t="str">
        <x:v>7 - Sistema de Banco de Dados Avançado - Alta Disponibilidade</x:v>
      </x:c>
      <x:c r="D132" s="40" t="str">
        <x:v>Videoaula</x:v>
      </x:c>
      <x:c r="E132" s="40" t="str">
        <x:v>Não iniciado</x:v>
      </x:c>
      <x:c r="F132" s="41" t="str"/>
      <x:c r="G132" s="42" t="str"/>
      <x:c r="H132" s="40" t="str">
        <x:v>Normal</x:v>
      </x:c>
      <x:c r="I132" s="40" t="str">
        <x:f>IF(E132="Concluído","Concluído",IF(A132&lt;TODAY(),"Atrasado",IF(A132=TODAY(),"Hoje","Futuro")))</x:f>
        <x:v>Futuro</x:v>
      </x:c>
      <x:c r="J132" s="43" t="n">
        <x:f>IF(OR(E132="Concluído",A132&gt;=TODAY()),0,TODAY()-A132)</x:f>
        <x:v>0</x:v>
      </x:c>
      <x:c r="K132" s="40" t="str"/>
    </x:row>
    <x:row r="133">
      <x:c r="A133" s="34" t="n">
        <x:v>46250</x:v>
      </x:c>
      <x:c r="B133" s="40" t="str">
        <x:v>Língua Portuguesa</x:v>
      </x:c>
      <x:c r="C133" s="40" t="str">
        <x:v>4 - Tipologias e Gêneros Textuais</x:v>
      </x:c>
      <x:c r="D133" s="40" t="str">
        <x:v>Pdf</x:v>
      </x:c>
      <x:c r="E133" s="40" t="str">
        <x:v>Não iniciado</x:v>
      </x:c>
      <x:c r="F133" s="41" t="str"/>
      <x:c r="G133" s="42" t="str"/>
      <x:c r="H133" s="40" t="str">
        <x:v>Normal</x:v>
      </x:c>
      <x:c r="I133" s="40" t="str">
        <x:f>IF(E133="Concluído","Concluído",IF(A133&lt;TODAY(),"Atrasado",IF(A133=TODAY(),"Hoje","Futuro")))</x:f>
        <x:v>Futuro</x:v>
      </x:c>
      <x:c r="J133" s="43" t="n">
        <x:f>IF(OR(E133="Concluído",A133&gt;=TODAY()),0,TODAY()-A133)</x:f>
        <x:v>0</x:v>
      </x:c>
      <x:c r="K133" s="40" t="str"/>
    </x:row>
    <x:row r="134">
      <x:c r="A134" s="34" t="n">
        <x:v>46250</x:v>
      </x:c>
      <x:c r="B134" s="40" t="str">
        <x:v>Língua Inglesa</x:v>
      </x:c>
      <x:c r="C134" s="40" t="str">
        <x:v>4 - Vocabulário e Gramática - Parte II</x:v>
      </x:c>
      <x:c r="D134" s="40" t="str">
        <x:v>Pdf</x:v>
      </x:c>
      <x:c r="E134" s="40" t="str">
        <x:v>Não iniciado</x:v>
      </x:c>
      <x:c r="F134" s="41" t="str"/>
      <x:c r="G134" s="42" t="str"/>
      <x:c r="H134" s="40" t="str">
        <x:v>Normal</x:v>
      </x:c>
      <x:c r="I134" s="40" t="str">
        <x:f>IF(E134="Concluído","Concluído",IF(A134&lt;TODAY(),"Atrasado",IF(A134=TODAY(),"Hoje","Futuro")))</x:f>
        <x:v>Futuro</x:v>
      </x:c>
      <x:c r="J134" s="43" t="n">
        <x:f>IF(OR(E134="Concluído",A134&gt;=TODAY()),0,TODAY()-A134)</x:f>
        <x:v>0</x:v>
      </x:c>
      <x:c r="K134" s="40" t="str"/>
    </x:row>
    <x:row r="135">
      <x:c r="A135" s="34" t="n">
        <x:v>46250</x:v>
      </x:c>
      <x:c r="B135" s="40" t="str">
        <x:v>Revisão</x:v>
      </x:c>
      <x:c r="C135" s="40" t="str">
        <x:v>Revisão</x:v>
      </x:c>
      <x:c r="D135" s="40" t="str">
        <x:v>Revisao</x:v>
      </x:c>
      <x:c r="E135" s="40" t="str">
        <x:v>Não iniciado</x:v>
      </x:c>
      <x:c r="F135" s="41" t="str"/>
      <x:c r="G135" s="42" t="str"/>
      <x:c r="H135" s="40" t="str">
        <x:v>Normal</x:v>
      </x:c>
      <x:c r="I135" s="40" t="str">
        <x:f>IF(E135="Concluído","Concluído",IF(A135&lt;TODAY(),"Atrasado",IF(A135=TODAY(),"Hoje","Futuro")))</x:f>
        <x:v>Futuro</x:v>
      </x:c>
      <x:c r="J135" s="43" t="n">
        <x:f>IF(OR(E135="Concluído",A135&gt;=TODAY()),0,TODAY()-A135)</x:f>
        <x:v>0</x:v>
      </x:c>
      <x:c r="K135" s="40" t="str"/>
    </x:row>
    <x:row r="136">
      <x:c r="A136" s="34" t="n">
        <x:v>46251</x:v>
      </x:c>
      <x:c r="B136" s="40" t="str">
        <x:v>Língua Inglesa</x:v>
      </x:c>
      <x:c r="C136" s="40" t="str">
        <x:v>4 - Vocabulário e Gramática - Parte II</x:v>
      </x:c>
      <x:c r="D136" s="40" t="str">
        <x:v>Pdf</x:v>
      </x:c>
      <x:c r="E136" s="40" t="str">
        <x:v>Não iniciado</x:v>
      </x:c>
      <x:c r="F136" s="41" t="str"/>
      <x:c r="G136" s="42" t="str"/>
      <x:c r="H136" s="40" t="str">
        <x:v>Normal</x:v>
      </x:c>
      <x:c r="I136" s="40" t="str">
        <x:f>IF(E136="Concluído","Concluído",IF(A136&lt;TODAY(),"Atrasado",IF(A136=TODAY(),"Hoje","Futuro")))</x:f>
        <x:v>Futuro</x:v>
      </x:c>
      <x:c r="J136" s="43" t="n">
        <x:f>IF(OR(E136="Concluído",A136&gt;=TODAY()),0,TODAY()-A136)</x:f>
        <x:v>0</x:v>
      </x:c>
      <x:c r="K136" s="40" t="str"/>
    </x:row>
    <x:row r="137">
      <x:c r="A137" s="34" t="n">
        <x:v>46251</x:v>
      </x:c>
      <x:c r="B137" s="40" t="str">
        <x:v>Raciocínio Lógico</x:v>
      </x:c>
      <x:c r="C137" s="40" t="str">
        <x:v>4 - Diagramas Lógicos</x:v>
      </x:c>
      <x:c r="D137" s="40" t="str">
        <x:v>Pdf</x:v>
      </x:c>
      <x:c r="E137" s="40" t="str">
        <x:v>Não iniciado</x:v>
      </x:c>
      <x:c r="F137" s="41" t="str"/>
      <x:c r="G137" s="42" t="str"/>
      <x:c r="H137" s="40" t="str">
        <x:v>Normal</x:v>
      </x:c>
      <x:c r="I137" s="40" t="str">
        <x:f>IF(E137="Concluído","Concluído",IF(A137&lt;TODAY(),"Atrasado",IF(A137=TODAY(),"Hoje","Futuro")))</x:f>
        <x:v>Futuro</x:v>
      </x:c>
      <x:c r="J137" s="43" t="n">
        <x:f>IF(OR(E137="Concluído",A137&gt;=TODAY()),0,TODAY()-A137)</x:f>
        <x:v>0</x:v>
      </x:c>
      <x:c r="K137" s="40" t="str"/>
    </x:row>
    <x:row r="138">
      <x:c r="A138" s="34" t="n">
        <x:v>46251</x:v>
      </x:c>
      <x:c r="B138" s="40" t="str">
        <x:v>Legislação Acerca de Segurança da Informação e Proteção de Dados</x:v>
      </x:c>
      <x:c r="C138" s="40" t="str">
        <x:v>4 - Decreto n. 7.724/2012 - Acesso à Informação no Poder Executivo Federal</x:v>
      </x:c>
      <x:c r="D138" s="40" t="str">
        <x:v>Pdf</x:v>
      </x:c>
      <x:c r="E138" s="40" t="str">
        <x:v>Não iniciado</x:v>
      </x:c>
      <x:c r="F138" s="41" t="str"/>
      <x:c r="G138" s="42" t="str"/>
      <x:c r="H138" s="40" t="str">
        <x:v>Normal</x:v>
      </x:c>
      <x:c r="I138" s="40" t="str">
        <x:f>IF(E138="Concluído","Concluído",IF(A138&lt;TODAY(),"Atrasado",IF(A138=TODAY(),"Hoje","Futuro")))</x:f>
        <x:v>Futuro</x:v>
      </x:c>
      <x:c r="J138" s="43" t="n">
        <x:f>IF(OR(E138="Concluído",A138&gt;=TODAY()),0,TODAY()-A138)</x:f>
        <x:v>0</x:v>
      </x:c>
      <x:c r="K138" s="40" t="str"/>
    </x:row>
    <x:row r="139">
      <x:c r="A139" s="34" t="n">
        <x:v>46251</x:v>
      </x:c>
      <x:c r="B139" s="40" t="str">
        <x:v>Banco de Dados</x:v>
      </x:c>
      <x:c r="C139" s="40" t="str">
        <x:v>4 - VLANs e Segmentação Lógica de Redes</x:v>
      </x:c>
      <x:c r="D139" s="40" t="str">
        <x:v>Pdf</x:v>
      </x:c>
      <x:c r="E139" s="40" t="str">
        <x:v>Não iniciado</x:v>
      </x:c>
      <x:c r="F139" s="41" t="str"/>
      <x:c r="G139" s="42" t="str"/>
      <x:c r="H139" s="40" t="str">
        <x:v>Normal</x:v>
      </x:c>
      <x:c r="I139" s="40" t="str">
        <x:f>IF(E139="Concluído","Concluído",IF(A139&lt;TODAY(),"Atrasado",IF(A139=TODAY(),"Hoje","Futuro")))</x:f>
        <x:v>Futuro</x:v>
      </x:c>
      <x:c r="J139" s="43" t="n">
        <x:f>IF(OR(E139="Concluído",A139&gt;=TODAY()),0,TODAY()-A139)</x:f>
        <x:v>0</x:v>
      </x:c>
      <x:c r="K139" s="40" t="str"/>
    </x:row>
    <x:row r="140">
      <x:c r="A140" s="34" t="n">
        <x:v>46252</x:v>
      </x:c>
      <x:c r="B140" s="40" t="str">
        <x:v>Banco de Dados</x:v>
      </x:c>
      <x:c r="C140" s="40" t="str">
        <x:v>4 - VLANs e Segmentação Lógica de Redes</x:v>
      </x:c>
      <x:c r="D140" s="40" t="str">
        <x:v>Pdf</x:v>
      </x:c>
      <x:c r="E140" s="40" t="str">
        <x:v>Não iniciado</x:v>
      </x:c>
      <x:c r="F140" s="41" t="str"/>
      <x:c r="G140" s="42" t="str"/>
      <x:c r="H140" s="40" t="str">
        <x:v>Normal</x:v>
      </x:c>
      <x:c r="I140" s="40" t="str">
        <x:f>IF(E140="Concluído","Concluído",IF(A140&lt;TODAY(),"Atrasado",IF(A140=TODAY(),"Hoje","Futuro")))</x:f>
        <x:v>Futuro</x:v>
      </x:c>
      <x:c r="J140" s="43" t="n">
        <x:f>IF(OR(E140="Concluído",A140&gt;=TODAY()),0,TODAY()-A140)</x:f>
        <x:v>0</x:v>
      </x:c>
      <x:c r="K140" s="40" t="str"/>
    </x:row>
    <x:row r="141">
      <x:c r="A141" s="34" t="n">
        <x:v>46252</x:v>
      </x:c>
      <x:c r="B141" s="40" t="str">
        <x:v>Inteligência Emocional</x:v>
      </x:c>
      <x:c r="C141" s="40" t="str">
        <x:v>4 - ELO 4: Ansiedade: o Maior Inimigo do Concurseiro</x:v>
      </x:c>
      <x:c r="D141" s="40" t="str">
        <x:v>Pdf</x:v>
      </x:c>
      <x:c r="E141" s="40" t="str">
        <x:v>Não iniciado</x:v>
      </x:c>
      <x:c r="F141" s="41" t="str"/>
      <x:c r="G141" s="42" t="str"/>
      <x:c r="H141" s="40" t="str">
        <x:v>Normal</x:v>
      </x:c>
      <x:c r="I141" s="40" t="str">
        <x:f>IF(E141="Concluído","Concluído",IF(A141&lt;TODAY(),"Atrasado",IF(A141=TODAY(),"Hoje","Futuro")))</x:f>
        <x:v>Futuro</x:v>
      </x:c>
      <x:c r="J141" s="43" t="n">
        <x:f>IF(OR(E141="Concluído",A141&gt;=TODAY()),0,TODAY()-A141)</x:f>
        <x:v>0</x:v>
      </x:c>
      <x:c r="K141" s="40" t="str"/>
    </x:row>
    <x:row r="142">
      <x:c r="A142" s="34" t="n">
        <x:v>46252</x:v>
      </x:c>
      <x:c r="B142" s="40" t="str">
        <x:v>Língua Portuguesa</x:v>
      </x:c>
      <x:c r="C142" s="40" t="str">
        <x:v>8 - Coesão - Conectivos</x:v>
      </x:c>
      <x:c r="D142" s="40" t="str">
        <x:v>Videoaula</x:v>
      </x:c>
      <x:c r="E142" s="40" t="str">
        <x:v>Não iniciado</x:v>
      </x:c>
      <x:c r="F142" s="41" t="str"/>
      <x:c r="G142" s="42" t="str"/>
      <x:c r="H142" s="40" t="str">
        <x:v>Normal</x:v>
      </x:c>
      <x:c r="I142" s="40" t="str">
        <x:f>IF(E142="Concluído","Concluído",IF(A142&lt;TODAY(),"Atrasado",IF(A142=TODAY(),"Hoje","Futuro")))</x:f>
        <x:v>Futuro</x:v>
      </x:c>
      <x:c r="J142" s="43" t="n">
        <x:f>IF(OR(E142="Concluído",A142&gt;=TODAY()),0,TODAY()-A142)</x:f>
        <x:v>0</x:v>
      </x:c>
      <x:c r="K142" s="40" t="str"/>
    </x:row>
    <x:row r="143">
      <x:c r="A143" s="34" t="n">
        <x:v>46252</x:v>
      </x:c>
      <x:c r="B143" s="40" t="str">
        <x:v>Língua Portuguesa</x:v>
      </x:c>
      <x:c r="C143" s="40" t="str">
        <x:v>9 - Intertextualidade</x:v>
      </x:c>
      <x:c r="D143" s="40" t="str">
        <x:v>Videoaula</x:v>
      </x:c>
      <x:c r="E143" s="40" t="str">
        <x:v>Não iniciado</x:v>
      </x:c>
      <x:c r="F143" s="41" t="str"/>
      <x:c r="G143" s="42" t="str"/>
      <x:c r="H143" s="40" t="str">
        <x:v>Normal</x:v>
      </x:c>
      <x:c r="I143" s="40" t="str">
        <x:f>IF(E143="Concluído","Concluído",IF(A143&lt;TODAY(),"Atrasado",IF(A143=TODAY(),"Hoje","Futuro")))</x:f>
        <x:v>Futuro</x:v>
      </x:c>
      <x:c r="J143" s="43" t="n">
        <x:f>IF(OR(E143="Concluído",A143&gt;=TODAY()),0,TODAY()-A143)</x:f>
        <x:v>0</x:v>
      </x:c>
      <x:c r="K143" s="40" t="str"/>
    </x:row>
    <x:row r="144">
      <x:c r="A144" s="34" t="n">
        <x:v>46253</x:v>
      </x:c>
      <x:c r="B144" s="40" t="str">
        <x:v>Língua Portuguesa</x:v>
      </x:c>
      <x:c r="C144" s="40" t="str">
        <x:v>9 - Intertextualidade</x:v>
      </x:c>
      <x:c r="D144" s="40" t="str">
        <x:v>Videoaula</x:v>
      </x:c>
      <x:c r="E144" s="40" t="str">
        <x:v>Não iniciado</x:v>
      </x:c>
      <x:c r="F144" s="41" t="str"/>
      <x:c r="G144" s="42" t="str"/>
      <x:c r="H144" s="40" t="str">
        <x:v>Normal</x:v>
      </x:c>
      <x:c r="I144" s="40" t="str">
        <x:f>IF(E144="Concluído","Concluído",IF(A144&lt;TODAY(),"Atrasado",IF(A144=TODAY(),"Hoje","Futuro")))</x:f>
        <x:v>Futuro</x:v>
      </x:c>
      <x:c r="J144" s="43" t="n">
        <x:f>IF(OR(E144="Concluído",A144&gt;=TODAY()),0,TODAY()-A144)</x:f>
        <x:v>0</x:v>
      </x:c>
      <x:c r="K144" s="40" t="str"/>
    </x:row>
    <x:row r="145">
      <x:c r="A145" s="34" t="n">
        <x:v>46253</x:v>
      </x:c>
      <x:c r="B145" s="40" t="str">
        <x:v>Língua Inglesa</x:v>
      </x:c>
      <x:c r="C145" s="40" t="str">
        <x:v>8 - Língua Inglesa - The Wooden Floorboards II</x:v>
      </x:c>
      <x:c r="D145" s="40" t="str">
        <x:v>Videoaula</x:v>
      </x:c>
      <x:c r="E145" s="40" t="str">
        <x:v>Não iniciado</x:v>
      </x:c>
      <x:c r="F145" s="41" t="str"/>
      <x:c r="G145" s="42" t="str"/>
      <x:c r="H145" s="40" t="str">
        <x:v>Normal</x:v>
      </x:c>
      <x:c r="I145" s="40" t="str">
        <x:f>IF(E145="Concluído","Concluído",IF(A145&lt;TODAY(),"Atrasado",IF(A145=TODAY(),"Hoje","Futuro")))</x:f>
        <x:v>Futuro</x:v>
      </x:c>
      <x:c r="J145" s="43" t="n">
        <x:f>IF(OR(E145="Concluído",A145&gt;=TODAY()),0,TODAY()-A145)</x:f>
        <x:v>0</x:v>
      </x:c>
      <x:c r="K145" s="40" t="str"/>
    </x:row>
    <x:row r="146">
      <x:c r="A146" s="34" t="n">
        <x:v>46253</x:v>
      </x:c>
      <x:c r="B146" s="40" t="str">
        <x:v>Língua Inglesa</x:v>
      </x:c>
      <x:c r="C146" s="40" t="str">
        <x:v>9 - Língua Inglesa - Technology Has Created More Jobs</x:v>
      </x:c>
      <x:c r="D146" s="40" t="str">
        <x:v>Videoaula</x:v>
      </x:c>
      <x:c r="E146" s="40" t="str">
        <x:v>Não iniciado</x:v>
      </x:c>
      <x:c r="F146" s="41" t="str"/>
      <x:c r="G146" s="42" t="str"/>
      <x:c r="H146" s="40" t="str">
        <x:v>Normal</x:v>
      </x:c>
      <x:c r="I146" s="40" t="str">
        <x:f>IF(E146="Concluído","Concluído",IF(A146&lt;TODAY(),"Atrasado",IF(A146=TODAY(),"Hoje","Futuro")))</x:f>
        <x:v>Futuro</x:v>
      </x:c>
      <x:c r="J146" s="43" t="n">
        <x:f>IF(OR(E146="Concluído",A146&gt;=TODAY()),0,TODAY()-A146)</x:f>
        <x:v>0</x:v>
      </x:c>
      <x:c r="K146" s="40" t="str"/>
    </x:row>
    <x:row r="147">
      <x:c r="A147" s="34" t="n">
        <x:v>46253</x:v>
      </x:c>
      <x:c r="B147" s="40" t="str">
        <x:v>Raciocínio Lógico</x:v>
      </x:c>
      <x:c r="C147" s="40" t="str">
        <x:v>8 - Validade de um Argumento - Presença de Proposições Categóricas</x:v>
      </x:c>
      <x:c r="D147" s="40" t="str">
        <x:v>Videoaula</x:v>
      </x:c>
      <x:c r="E147" s="40" t="str">
        <x:v>Não iniciado</x:v>
      </x:c>
      <x:c r="F147" s="41" t="str"/>
      <x:c r="G147" s="42" t="str"/>
      <x:c r="H147" s="40" t="str">
        <x:v>Normal</x:v>
      </x:c>
      <x:c r="I147" s="40" t="str">
        <x:f>IF(E147="Concluído","Concluído",IF(A147&lt;TODAY(),"Atrasado",IF(A147=TODAY(),"Hoje","Futuro")))</x:f>
        <x:v>Futuro</x:v>
      </x:c>
      <x:c r="J147" s="43" t="n">
        <x:f>IF(OR(E147="Concluído",A147&gt;=TODAY()),0,TODAY()-A147)</x:f>
        <x:v>0</x:v>
      </x:c>
      <x:c r="K147" s="40" t="str"/>
    </x:row>
    <x:row r="148">
      <x:c r="A148" s="34" t="n">
        <x:v>46254</x:v>
      </x:c>
      <x:c r="B148" s="40" t="str">
        <x:v>Raciocínio Lógico</x:v>
      </x:c>
      <x:c r="C148" s="40" t="str">
        <x:v>8 - Validade de um Argumento - Presença de Proposições Categóricas</x:v>
      </x:c>
      <x:c r="D148" s="40" t="str">
        <x:v>Videoaula</x:v>
      </x:c>
      <x:c r="E148" s="40" t="str">
        <x:v>Não iniciado</x:v>
      </x:c>
      <x:c r="F148" s="41" t="str"/>
      <x:c r="G148" s="42" t="str"/>
      <x:c r="H148" s="40" t="str">
        <x:v>Normal</x:v>
      </x:c>
      <x:c r="I148" s="40" t="str">
        <x:f>IF(E148="Concluído","Concluído",IF(A148&lt;TODAY(),"Atrasado",IF(A148=TODAY(),"Hoje","Futuro")))</x:f>
        <x:v>Futuro</x:v>
      </x:c>
      <x:c r="J148" s="43" t="n">
        <x:f>IF(OR(E148="Concluído",A148&gt;=TODAY()),0,TODAY()-A148)</x:f>
        <x:v>0</x:v>
      </x:c>
      <x:c r="K148" s="40" t="str"/>
    </x:row>
    <x:row r="149">
      <x:c r="A149" s="34" t="n">
        <x:v>46254</x:v>
      </x:c>
      <x:c r="B149" s="40" t="str">
        <x:v>Raciocínio Lógico</x:v>
      </x:c>
      <x:c r="C149" s="40" t="str">
        <x:v>9 - Validade de um Argumento - Uma Premissa é Proposição Simples ou Conjunção</x:v>
      </x:c>
      <x:c r="D149" s="40" t="str">
        <x:v>Videoaula</x:v>
      </x:c>
      <x:c r="E149" s="40" t="str">
        <x:v>Não iniciado</x:v>
      </x:c>
      <x:c r="F149" s="41" t="str"/>
      <x:c r="G149" s="42" t="str"/>
      <x:c r="H149" s="40" t="str">
        <x:v>Normal</x:v>
      </x:c>
      <x:c r="I149" s="40" t="str">
        <x:f>IF(E149="Concluído","Concluído",IF(A149&lt;TODAY(),"Atrasado",IF(A149=TODAY(),"Hoje","Futuro")))</x:f>
        <x:v>Futuro</x:v>
      </x:c>
      <x:c r="J149" s="43" t="n">
        <x:f>IF(OR(E149="Concluído",A149&gt;=TODAY()),0,TODAY()-A149)</x:f>
        <x:v>0</x:v>
      </x:c>
      <x:c r="K149" s="40" t="str"/>
    </x:row>
    <x:row r="150">
      <x:c r="A150" s="34" t="n">
        <x:v>46254</x:v>
      </x:c>
      <x:c r="B150" s="40" t="str">
        <x:v>Atualidades e Inteligência Artificial</x:v>
      </x:c>
      <x:c r="C150" s="40" t="str">
        <x:v>8 - Educação II</x:v>
      </x:c>
      <x:c r="D150" s="40" t="str">
        <x:v>Videoaula</x:v>
      </x:c>
      <x:c r="E150" s="40" t="str">
        <x:v>Não iniciado</x:v>
      </x:c>
      <x:c r="F150" s="41" t="str"/>
      <x:c r="G150" s="42" t="str"/>
      <x:c r="H150" s="40" t="str">
        <x:v>Normal</x:v>
      </x:c>
      <x:c r="I150" s="40" t="str">
        <x:f>IF(E150="Concluído","Concluído",IF(A150&lt;TODAY(),"Atrasado",IF(A150=TODAY(),"Hoje","Futuro")))</x:f>
        <x:v>Futuro</x:v>
      </x:c>
      <x:c r="J150" s="43" t="n">
        <x:f>IF(OR(E150="Concluído",A150&gt;=TODAY()),0,TODAY()-A150)</x:f>
        <x:v>0</x:v>
      </x:c>
      <x:c r="K150" s="40" t="str"/>
    </x:row>
    <x:row r="151">
      <x:c r="A151" s="34" t="n">
        <x:v>46254</x:v>
      </x:c>
      <x:c r="B151" s="40" t="str">
        <x:v>Atualidades e Inteligência Artificial</x:v>
      </x:c>
      <x:c r="C151" s="40" t="str">
        <x:v>9 - Cultura</x:v>
      </x:c>
      <x:c r="D151" s="40" t="str">
        <x:v>Videoaula</x:v>
      </x:c>
      <x:c r="E151" s="40" t="str">
        <x:v>Não iniciado</x:v>
      </x:c>
      <x:c r="F151" s="41" t="str"/>
      <x:c r="G151" s="42" t="str"/>
      <x:c r="H151" s="40" t="str">
        <x:v>Normal</x:v>
      </x:c>
      <x:c r="I151" s="40" t="str">
        <x:f>IF(E151="Concluído","Concluído",IF(A151&lt;TODAY(),"Atrasado",IF(A151=TODAY(),"Hoje","Futuro")))</x:f>
        <x:v>Futuro</x:v>
      </x:c>
      <x:c r="J151" s="43" t="n">
        <x:f>IF(OR(E151="Concluído",A151&gt;=TODAY()),0,TODAY()-A151)</x:f>
        <x:v>0</x:v>
      </x:c>
      <x:c r="K151" s="40" t="str"/>
    </x:row>
    <x:row r="152">
      <x:c r="A152" s="34" t="n">
        <x:v>46255</x:v>
      </x:c>
      <x:c r="B152" s="40" t="str">
        <x:v>Atualidades e Inteligência Artificial</x:v>
      </x:c>
      <x:c r="C152" s="40" t="str">
        <x:v>9 - Cultura</x:v>
      </x:c>
      <x:c r="D152" s="40" t="str">
        <x:v>Videoaula</x:v>
      </x:c>
      <x:c r="E152" s="40" t="str">
        <x:v>Não iniciado</x:v>
      </x:c>
      <x:c r="F152" s="41" t="str"/>
      <x:c r="G152" s="42" t="str"/>
      <x:c r="H152" s="40" t="str">
        <x:v>Normal</x:v>
      </x:c>
      <x:c r="I152" s="40" t="str">
        <x:f>IF(E152="Concluído","Concluído",IF(A152&lt;TODAY(),"Atrasado",IF(A152=TODAY(),"Hoje","Futuro")))</x:f>
        <x:v>Futuro</x:v>
      </x:c>
      <x:c r="J152" s="43" t="n">
        <x:f>IF(OR(E152="Concluído",A152&gt;=TODAY()),0,TODAY()-A152)</x:f>
        <x:v>0</x:v>
      </x:c>
      <x:c r="K152" s="40" t="str"/>
    </x:row>
    <x:row r="153">
      <x:c r="A153" s="34" t="n">
        <x:v>46255</x:v>
      </x:c>
      <x:c r="B153" s="40" t="str">
        <x:v>Legislação Acerca de Segurança da Informação e Proteção de Dados</x:v>
      </x:c>
      <x:c r="C153" s="40" t="str">
        <x:v>2 - Decreto nº 7.724/2012 - Art. 9º ao Art. 24</x:v>
      </x:c>
      <x:c r="D153" s="40" t="str">
        <x:v>Videoaula</x:v>
      </x:c>
      <x:c r="E153" s="40" t="str">
        <x:v>Não iniciado</x:v>
      </x:c>
      <x:c r="F153" s="41" t="str"/>
      <x:c r="G153" s="42" t="str"/>
      <x:c r="H153" s="40" t="str">
        <x:v>Normal</x:v>
      </x:c>
      <x:c r="I153" s="40" t="str">
        <x:f>IF(E153="Concluído","Concluído",IF(A153&lt;TODAY(),"Atrasado",IF(A153=TODAY(),"Hoje","Futuro")))</x:f>
        <x:v>Futuro</x:v>
      </x:c>
      <x:c r="J153" s="43" t="n">
        <x:f>IF(OR(E153="Concluído",A153&gt;=TODAY()),0,TODAY()-A153)</x:f>
        <x:v>0</x:v>
      </x:c>
      <x:c r="K153" s="40" t="str"/>
    </x:row>
    <x:row r="154">
      <x:c r="A154" s="34" t="n">
        <x:v>46255</x:v>
      </x:c>
      <x:c r="B154" s="40" t="str">
        <x:v>Legislação Acerca de Segurança da Informação e Proteção de Dados</x:v>
      </x:c>
      <x:c r="C154" s="40" t="str">
        <x:v>3 - Decreto nº 7.724/2012 - Art. 25 ao Art. 34</x:v>
      </x:c>
      <x:c r="D154" s="40" t="str">
        <x:v>Videoaula</x:v>
      </x:c>
      <x:c r="E154" s="40" t="str">
        <x:v>Não iniciado</x:v>
      </x:c>
      <x:c r="F154" s="41" t="str"/>
      <x:c r="G154" s="42" t="str"/>
      <x:c r="H154" s="40" t="str">
        <x:v>Normal</x:v>
      </x:c>
      <x:c r="I154" s="40" t="str">
        <x:f>IF(E154="Concluído","Concluído",IF(A154&lt;TODAY(),"Atrasado",IF(A154=TODAY(),"Hoje","Futuro")))</x:f>
        <x:v>Futuro</x:v>
      </x:c>
      <x:c r="J154" s="43" t="n">
        <x:f>IF(OR(E154="Concluído",A154&gt;=TODAY()),0,TODAY()-A154)</x:f>
        <x:v>0</x:v>
      </x:c>
      <x:c r="K154" s="40" t="str"/>
    </x:row>
    <x:row r="155">
      <x:c r="A155" s="34" t="n">
        <x:v>46255</x:v>
      </x:c>
      <x:c r="B155" s="40" t="str">
        <x:v>Gestão e Governança de Tecnologia da Informação</x:v>
      </x:c>
      <x:c r="C155" s="40" t="str">
        <x:v>8 - Lei 13.303/2016 - Procedimentos Auxiliares</x:v>
      </x:c>
      <x:c r="D155" s="40" t="str">
        <x:v>Videoaula</x:v>
      </x:c>
      <x:c r="E155" s="40" t="str">
        <x:v>Não iniciado</x:v>
      </x:c>
      <x:c r="F155" s="41" t="str"/>
      <x:c r="G155" s="42" t="str"/>
      <x:c r="H155" s="40" t="str">
        <x:v>Normal</x:v>
      </x:c>
      <x:c r="I155" s="40" t="str">
        <x:f>IF(E155="Concluído","Concluído",IF(A155&lt;TODAY(),"Atrasado",IF(A155=TODAY(),"Hoje","Futuro")))</x:f>
        <x:v>Futuro</x:v>
      </x:c>
      <x:c r="J155" s="43" t="n">
        <x:f>IF(OR(E155="Concluído",A155&gt;=TODAY()),0,TODAY()-A155)</x:f>
        <x:v>0</x:v>
      </x:c>
      <x:c r="K155" s="40" t="str"/>
    </x:row>
    <x:row r="156">
      <x:c r="A156" s="34" t="n">
        <x:v>46255</x:v>
      </x:c>
      <x:c r="B156" s="40" t="str">
        <x:v>Gestão e Governança de Tecnologia da Informação</x:v>
      </x:c>
      <x:c r="C156" s="40" t="str">
        <x:v>9 - Lei 13.303/2016 - Procedimentos Auxiliares II</x:v>
      </x:c>
      <x:c r="D156" s="40" t="str">
        <x:v>Videoaula</x:v>
      </x:c>
      <x:c r="E156" s="40" t="str">
        <x:v>Não iniciado</x:v>
      </x:c>
      <x:c r="F156" s="41" t="str"/>
      <x:c r="G156" s="42" t="str"/>
      <x:c r="H156" s="40" t="str">
        <x:v>Normal</x:v>
      </x:c>
      <x:c r="I156" s="40" t="str">
        <x:f>IF(E156="Concluído","Concluído",IF(A156&lt;TODAY(),"Atrasado",IF(A156=TODAY(),"Hoje","Futuro")))</x:f>
        <x:v>Futuro</x:v>
      </x:c>
      <x:c r="J156" s="43" t="n">
        <x:f>IF(OR(E156="Concluído",A156&gt;=TODAY()),0,TODAY()-A156)</x:f>
        <x:v>0</x:v>
      </x:c>
      <x:c r="K156" s="40" t="str"/>
    </x:row>
    <x:row r="157">
      <x:c r="A157" s="34" t="n">
        <x:v>46256</x:v>
      </x:c>
      <x:c r="B157" s="40" t="str">
        <x:v>Gestão e Governança de Tecnologia da Informação</x:v>
      </x:c>
      <x:c r="C157" s="40" t="str">
        <x:v>9 - Lei 13.303/2016 - Procedimentos Auxiliares II</x:v>
      </x:c>
      <x:c r="D157" s="40" t="str">
        <x:v>Videoaula</x:v>
      </x:c>
      <x:c r="E157" s="40" t="str">
        <x:v>Não iniciado</x:v>
      </x:c>
      <x:c r="F157" s="41" t="str"/>
      <x:c r="G157" s="42" t="str"/>
      <x:c r="H157" s="40" t="str">
        <x:v>Normal</x:v>
      </x:c>
      <x:c r="I157" s="40" t="str">
        <x:f>IF(E157="Concluído","Concluído",IF(A157&lt;TODAY(),"Atrasado",IF(A157=TODAY(),"Hoje","Futuro")))</x:f>
        <x:v>Futuro</x:v>
      </x:c>
      <x:c r="J157" s="43" t="n">
        <x:f>IF(OR(E157="Concluído",A157&gt;=TODAY()),0,TODAY()-A157)</x:f>
        <x:v>0</x:v>
      </x:c>
      <x:c r="K157" s="40" t="str"/>
    </x:row>
    <x:row r="158">
      <x:c r="A158" s="34" t="n">
        <x:v>46256</x:v>
      </x:c>
      <x:c r="B158" s="40" t="str">
        <x:v>Banco de Dados</x:v>
      </x:c>
      <x:c r="C158" s="40" t="str">
        <x:v>8 - Banco de Dados - MER - Tópicos Avançados</x:v>
      </x:c>
      <x:c r="D158" s="40" t="str">
        <x:v>Videoaula</x:v>
      </x:c>
      <x:c r="E158" s="40" t="str">
        <x:v>Não iniciado</x:v>
      </x:c>
      <x:c r="F158" s="41" t="str"/>
      <x:c r="G158" s="42" t="str"/>
      <x:c r="H158" s="40" t="str">
        <x:v>Normal</x:v>
      </x:c>
      <x:c r="I158" s="40" t="str">
        <x:f>IF(E158="Concluído","Concluído",IF(A158&lt;TODAY(),"Atrasado",IF(A158=TODAY(),"Hoje","Futuro")))</x:f>
        <x:v>Futuro</x:v>
      </x:c>
      <x:c r="J158" s="43" t="n">
        <x:f>IF(OR(E158="Concluído",A158&gt;=TODAY()),0,TODAY()-A158)</x:f>
        <x:v>0</x:v>
      </x:c>
      <x:c r="K158" s="40" t="str"/>
    </x:row>
    <x:row r="159">
      <x:c r="A159" s="34" t="n">
        <x:v>46256</x:v>
      </x:c>
      <x:c r="B159" s="40" t="str">
        <x:v>Banco de Dados</x:v>
      </x:c>
      <x:c r="C159" s="40" t="str">
        <x:v>9 - Sistema de Banco de Dados Avançado - Banco de Dados Distribuído</x:v>
      </x:c>
      <x:c r="D159" s="40" t="str">
        <x:v>Videoaula</x:v>
      </x:c>
      <x:c r="E159" s="40" t="str">
        <x:v>Não iniciado</x:v>
      </x:c>
      <x:c r="F159" s="41" t="str"/>
      <x:c r="G159" s="42" t="str"/>
      <x:c r="H159" s="40" t="str">
        <x:v>Normal</x:v>
      </x:c>
      <x:c r="I159" s="40" t="str">
        <x:f>IF(E159="Concluído","Concluído",IF(A159&lt;TODAY(),"Atrasado",IF(A159=TODAY(),"Hoje","Futuro")))</x:f>
        <x:v>Futuro</x:v>
      </x:c>
      <x:c r="J159" s="43" t="n">
        <x:f>IF(OR(E159="Concluído",A159&gt;=TODAY()),0,TODAY()-A159)</x:f>
        <x:v>0</x:v>
      </x:c>
      <x:c r="K159" s="40" t="str"/>
    </x:row>
    <x:row r="160">
      <x:c r="A160" s="34" t="n">
        <x:v>46256</x:v>
      </x:c>
      <x:c r="B160" s="40" t="str">
        <x:v>Língua Portuguesa</x:v>
      </x:c>
      <x:c r="C160" s="40" t="str">
        <x:v>5 - Coesão e Coerência, Semântica, Figuras e Vícios de Linguagem, Reescrita</x:v>
      </x:c>
      <x:c r="D160" s="40" t="str">
        <x:v>Pdf</x:v>
      </x:c>
      <x:c r="E160" s="40" t="str">
        <x:v>Não iniciado</x:v>
      </x:c>
      <x:c r="F160" s="41" t="str"/>
      <x:c r="G160" s="42" t="str"/>
      <x:c r="H160" s="40" t="str">
        <x:v>Normal</x:v>
      </x:c>
      <x:c r="I160" s="40" t="str">
        <x:f>IF(E160="Concluído","Concluído",IF(A160&lt;TODAY(),"Atrasado",IF(A160=TODAY(),"Hoje","Futuro")))</x:f>
        <x:v>Futuro</x:v>
      </x:c>
      <x:c r="J160" s="43" t="n">
        <x:f>IF(OR(E160="Concluído",A160&gt;=TODAY()),0,TODAY()-A160)</x:f>
        <x:v>0</x:v>
      </x:c>
      <x:c r="K160" s="40" t="str"/>
    </x:row>
    <x:row r="161">
      <x:c r="A161" s="34" t="n">
        <x:v>46257</x:v>
      </x:c>
      <x:c r="B161" s="40" t="str">
        <x:v>Língua Portuguesa</x:v>
      </x:c>
      <x:c r="C161" s="40" t="str">
        <x:v>5 - Coesão e Coerência, Semântica, Figuras e Vícios de Linguagem, Reescrita</x:v>
      </x:c>
      <x:c r="D161" s="40" t="str">
        <x:v>Pdf</x:v>
      </x:c>
      <x:c r="E161" s="40" t="str">
        <x:v>Não iniciado</x:v>
      </x:c>
      <x:c r="F161" s="41" t="str"/>
      <x:c r="G161" s="42" t="str"/>
      <x:c r="H161" s="40" t="str">
        <x:v>Normal</x:v>
      </x:c>
      <x:c r="I161" s="40" t="str">
        <x:f>IF(E161="Concluído","Concluído",IF(A161&lt;TODAY(),"Atrasado",IF(A161=TODAY(),"Hoje","Futuro")))</x:f>
        <x:v>Futuro</x:v>
      </x:c>
      <x:c r="J161" s="43" t="n">
        <x:f>IF(OR(E161="Concluído",A161&gt;=TODAY()),0,TODAY()-A161)</x:f>
        <x:v>0</x:v>
      </x:c>
      <x:c r="K161" s="40" t="str"/>
    </x:row>
    <x:row r="162">
      <x:c r="A162" s="34" t="n">
        <x:v>46257</x:v>
      </x:c>
      <x:c r="B162" s="40" t="str">
        <x:v>Revisão</x:v>
      </x:c>
      <x:c r="C162" s="40" t="str">
        <x:v>Revisão</x:v>
      </x:c>
      <x:c r="D162" s="40" t="str">
        <x:v>Revisao</x:v>
      </x:c>
      <x:c r="E162" s="40" t="str">
        <x:v>Não iniciado</x:v>
      </x:c>
      <x:c r="F162" s="41" t="str"/>
      <x:c r="G162" s="42" t="str"/>
      <x:c r="H162" s="40" t="str">
        <x:v>Normal</x:v>
      </x:c>
      <x:c r="I162" s="40" t="str">
        <x:f>IF(E162="Concluído","Concluído",IF(A162&lt;TODAY(),"Atrasado",IF(A162=TODAY(),"Hoje","Futuro")))</x:f>
        <x:v>Futuro</x:v>
      </x:c>
      <x:c r="J162" s="43" t="n">
        <x:f>IF(OR(E162="Concluído",A162&gt;=TODAY()),0,TODAY()-A162)</x:f>
        <x:v>0</x:v>
      </x:c>
      <x:c r="K162" s="40" t="str"/>
    </x:row>
    <x:row r="163">
      <x:c r="A163" s="34" t="n">
        <x:v>46258</x:v>
      </x:c>
      <x:c r="B163" s="40" t="str">
        <x:v>Língua Portuguesa</x:v>
      </x:c>
      <x:c r="C163" s="40" t="str">
        <x:v>5 - Coesão e Coerência, Semântica, Figuras e Vícios de Linguagem, Reescrita</x:v>
      </x:c>
      <x:c r="D163" s="40" t="str">
        <x:v>Pdf</x:v>
      </x:c>
      <x:c r="E163" s="40" t="str">
        <x:v>Não iniciado</x:v>
      </x:c>
      <x:c r="F163" s="41" t="str"/>
      <x:c r="G163" s="42" t="str"/>
      <x:c r="H163" s="40" t="str">
        <x:v>Normal</x:v>
      </x:c>
      <x:c r="I163" s="40" t="str">
        <x:f>IF(E163="Concluído","Concluído",IF(A163&lt;TODAY(),"Atrasado",IF(A163=TODAY(),"Hoje","Futuro")))</x:f>
        <x:v>Futuro</x:v>
      </x:c>
      <x:c r="J163" s="43" t="n">
        <x:f>IF(OR(E163="Concluído",A163&gt;=TODAY()),0,TODAY()-A163)</x:f>
        <x:v>0</x:v>
      </x:c>
      <x:c r="K163" s="40" t="str"/>
    </x:row>
    <x:row r="164">
      <x:c r="A164" s="34" t="n">
        <x:v>46258</x:v>
      </x:c>
      <x:c r="B164" s="40" t="str">
        <x:v>Língua Inglesa</x:v>
      </x:c>
      <x:c r="C164" s="40" t="str">
        <x:v>5 - Vocabulário e Gramática - Parte III</x:v>
      </x:c>
      <x:c r="D164" s="40" t="str">
        <x:v>Pdf</x:v>
      </x:c>
      <x:c r="E164" s="40" t="str">
        <x:v>Não iniciado</x:v>
      </x:c>
      <x:c r="F164" s="41" t="str"/>
      <x:c r="G164" s="42" t="str"/>
      <x:c r="H164" s="40" t="str">
        <x:v>Normal</x:v>
      </x:c>
      <x:c r="I164" s="40" t="str">
        <x:f>IF(E164="Concluído","Concluído",IF(A164&lt;TODAY(),"Atrasado",IF(A164=TODAY(),"Hoje","Futuro")))</x:f>
        <x:v>Futuro</x:v>
      </x:c>
      <x:c r="J164" s="43" t="n">
        <x:f>IF(OR(E164="Concluído",A164&gt;=TODAY()),0,TODAY()-A164)</x:f>
        <x:v>0</x:v>
      </x:c>
      <x:c r="K164" s="40" t="str"/>
    </x:row>
    <x:row r="165">
      <x:c r="A165" s="34" t="n">
        <x:v>46259</x:v>
      </x:c>
      <x:c r="B165" s="40" t="str">
        <x:v>Língua Inglesa</x:v>
      </x:c>
      <x:c r="C165" s="40" t="str">
        <x:v>5 - Vocabulário e Gramática - Parte III</x:v>
      </x:c>
      <x:c r="D165" s="40" t="str">
        <x:v>Pdf</x:v>
      </x:c>
      <x:c r="E165" s="40" t="str">
        <x:v>Não iniciado</x:v>
      </x:c>
      <x:c r="F165" s="41" t="str"/>
      <x:c r="G165" s="42" t="str"/>
      <x:c r="H165" s="40" t="str">
        <x:v>Normal</x:v>
      </x:c>
      <x:c r="I165" s="40" t="str">
        <x:f>IF(E165="Concluído","Concluído",IF(A165&lt;TODAY(),"Atrasado",IF(A165=TODAY(),"Hoje","Futuro")))</x:f>
        <x:v>Futuro</x:v>
      </x:c>
      <x:c r="J165" s="43" t="n">
        <x:f>IF(OR(E165="Concluído",A165&gt;=TODAY()),0,TODAY()-A165)</x:f>
        <x:v>0</x:v>
      </x:c>
      <x:c r="K165" s="40" t="str"/>
    </x:row>
    <x:row r="166">
      <x:c r="A166" s="34" t="n">
        <x:v>46259</x:v>
      </x:c>
      <x:c r="B166" s="40" t="str">
        <x:v>Raciocínio Lógico</x:v>
      </x:c>
      <x:c r="C166" s="40" t="str">
        <x:v>5 - Diagramas Lógicos</x:v>
      </x:c>
      <x:c r="D166" s="40" t="str">
        <x:v>Pdf</x:v>
      </x:c>
      <x:c r="E166" s="40" t="str">
        <x:v>Não iniciado</x:v>
      </x:c>
      <x:c r="F166" s="41" t="str"/>
      <x:c r="G166" s="42" t="str"/>
      <x:c r="H166" s="40" t="str">
        <x:v>Normal</x:v>
      </x:c>
      <x:c r="I166" s="40" t="str">
        <x:f>IF(E166="Concluído","Concluído",IF(A166&lt;TODAY(),"Atrasado",IF(A166=TODAY(),"Hoje","Futuro")))</x:f>
        <x:v>Futuro</x:v>
      </x:c>
      <x:c r="J166" s="43" t="n">
        <x:f>IF(OR(E166="Concluído",A166&gt;=TODAY()),0,TODAY()-A166)</x:f>
        <x:v>0</x:v>
      </x:c>
      <x:c r="K166" s="40" t="str"/>
    </x:row>
    <x:row r="167">
      <x:c r="A167" s="34" t="n">
        <x:v>46259</x:v>
      </x:c>
      <x:c r="B167" s="40" t="str">
        <x:v>Legislação Acerca de Segurança da Informação e Proteção de Dados</x:v>
      </x:c>
      <x:c r="C167" s="40" t="str">
        <x:v>1 - Lei n.12.737/2012 ( Art. 2º) e Lei n.12.965/2014 (Capítulos II)</x:v>
      </x:c>
      <x:c r="D167" s="40" t="str">
        <x:v>Pdf</x:v>
      </x:c>
      <x:c r="E167" s="40" t="str">
        <x:v>Não iniciado</x:v>
      </x:c>
      <x:c r="F167" s="41" t="str"/>
      <x:c r="G167" s="42" t="str"/>
      <x:c r="H167" s="40" t="str">
        <x:v>Normal</x:v>
      </x:c>
      <x:c r="I167" s="40" t="str">
        <x:f>IF(E167="Concluído","Concluído",IF(A167&lt;TODAY(),"Atrasado",IF(A167=TODAY(),"Hoje","Futuro")))</x:f>
        <x:v>Futuro</x:v>
      </x:c>
      <x:c r="J167" s="43" t="n">
        <x:f>IF(OR(E167="Concluído",A167&gt;=TODAY()),0,TODAY()-A167)</x:f>
        <x:v>0</x:v>
      </x:c>
      <x:c r="K167" s="40" t="str"/>
    </x:row>
    <x:row r="168">
      <x:c r="A168" s="34" t="n">
        <x:v>46259</x:v>
      </x:c>
      <x:c r="B168" s="40" t="str">
        <x:v>Inteligência Emocional</x:v>
      </x:c>
      <x:c r="C168" s="40" t="str">
        <x:v>5 - ELO 5: Mindfulness: o Pequeno Grande Milagre</x:v>
      </x:c>
      <x:c r="D168" s="40" t="str">
        <x:v>Pdf</x:v>
      </x:c>
      <x:c r="E168" s="40" t="str">
        <x:v>Não iniciado</x:v>
      </x:c>
      <x:c r="F168" s="41" t="str"/>
      <x:c r="G168" s="42" t="str"/>
      <x:c r="H168" s="40" t="str">
        <x:v>Normal</x:v>
      </x:c>
      <x:c r="I168" s="40" t="str">
        <x:f>IF(E168="Concluído","Concluído",IF(A168&lt;TODAY(),"Atrasado",IF(A168=TODAY(),"Hoje","Futuro")))</x:f>
        <x:v>Futuro</x:v>
      </x:c>
      <x:c r="J168" s="43" t="n">
        <x:f>IF(OR(E168="Concluído",A168&gt;=TODAY()),0,TODAY()-A168)</x:f>
        <x:v>0</x:v>
      </x:c>
      <x:c r="K168" s="40" t="str"/>
    </x:row>
    <x:row r="169">
      <x:c r="A169" s="34" t="n">
        <x:v>46260</x:v>
      </x:c>
      <x:c r="B169" s="40" t="str">
        <x:v>Inteligência Emocional</x:v>
      </x:c>
      <x:c r="C169" s="40" t="str">
        <x:v>5 - ELO 5: Mindfulness: o Pequeno Grande Milagre</x:v>
      </x:c>
      <x:c r="D169" s="40" t="str">
        <x:v>Pdf</x:v>
      </x:c>
      <x:c r="E169" s="40" t="str">
        <x:v>Não iniciado</x:v>
      </x:c>
      <x:c r="F169" s="41" t="str"/>
      <x:c r="G169" s="42" t="str"/>
      <x:c r="H169" s="40" t="str">
        <x:v>Normal</x:v>
      </x:c>
      <x:c r="I169" s="40" t="str">
        <x:f>IF(E169="Concluído","Concluído",IF(A169&lt;TODAY(),"Atrasado",IF(A169=TODAY(),"Hoje","Futuro")))</x:f>
        <x:v>Futuro</x:v>
      </x:c>
      <x:c r="J169" s="43" t="n">
        <x:f>IF(OR(E169="Concluído",A169&gt;=TODAY()),0,TODAY()-A169)</x:f>
        <x:v>0</x:v>
      </x:c>
      <x:c r="K169" s="40" t="str"/>
    </x:row>
    <x:row r="170">
      <x:c r="A170" s="34" t="n">
        <x:v>46260</x:v>
      </x:c>
      <x:c r="B170" s="40" t="str">
        <x:v>Língua Portuguesa</x:v>
      </x:c>
      <x:c r="C170" s="40" t="str">
        <x:v>10 - Semântica: Sinônimos, Antônimos, Parônimos e Hiperônimos</x:v>
      </x:c>
      <x:c r="D170" s="40" t="str">
        <x:v>Videoaula</x:v>
      </x:c>
      <x:c r="E170" s="40" t="str">
        <x:v>Não iniciado</x:v>
      </x:c>
      <x:c r="F170" s="41" t="str"/>
      <x:c r="G170" s="42" t="str"/>
      <x:c r="H170" s="40" t="str">
        <x:v>Normal</x:v>
      </x:c>
      <x:c r="I170" s="40" t="str">
        <x:f>IF(E170="Concluído","Concluído",IF(A170&lt;TODAY(),"Atrasado",IF(A170=TODAY(),"Hoje","Futuro")))</x:f>
        <x:v>Futuro</x:v>
      </x:c>
      <x:c r="J170" s="43" t="n">
        <x:f>IF(OR(E170="Concluído",A170&gt;=TODAY()),0,TODAY()-A170)</x:f>
        <x:v>0</x:v>
      </x:c>
      <x:c r="K170" s="40" t="str"/>
    </x:row>
    <x:row r="171">
      <x:c r="A171" s="34" t="n">
        <x:v>46260</x:v>
      </x:c>
      <x:c r="B171" s="40" t="str">
        <x:v>Língua Portuguesa</x:v>
      </x:c>
      <x:c r="C171" s="40" t="str">
        <x:v>11 - Semântica: Polissemia e Ambiguidade</x:v>
      </x:c>
      <x:c r="D171" s="40" t="str">
        <x:v>Videoaula</x:v>
      </x:c>
      <x:c r="E171" s="40" t="str">
        <x:v>Não iniciado</x:v>
      </x:c>
      <x:c r="F171" s="41" t="str"/>
      <x:c r="G171" s="42" t="str"/>
      <x:c r="H171" s="40" t="str">
        <x:v>Normal</x:v>
      </x:c>
      <x:c r="I171" s="40" t="str">
        <x:f>IF(E171="Concluído","Concluído",IF(A171&lt;TODAY(),"Atrasado",IF(A171=TODAY(),"Hoje","Futuro")))</x:f>
        <x:v>Futuro</x:v>
      </x:c>
      <x:c r="J171" s="43" t="n">
        <x:f>IF(OR(E171="Concluído",A171&gt;=TODAY()),0,TODAY()-A171)</x:f>
        <x:v>0</x:v>
      </x:c>
      <x:c r="K171" s="40" t="str"/>
    </x:row>
    <x:row r="172">
      <x:c r="A172" s="34" t="n">
        <x:v>46260</x:v>
      </x:c>
      <x:c r="B172" s="40" t="str">
        <x:v>Língua Inglesa</x:v>
      </x:c>
      <x:c r="C172" s="40" t="str">
        <x:v>10 - Língua Inglesa - Technology Has Created More Jobs II</x:v>
      </x:c>
      <x:c r="D172" s="40" t="str">
        <x:v>Videoaula</x:v>
      </x:c>
      <x:c r="E172" s="40" t="str">
        <x:v>Não iniciado</x:v>
      </x:c>
      <x:c r="F172" s="41" t="str"/>
      <x:c r="G172" s="42" t="str"/>
      <x:c r="H172" s="40" t="str">
        <x:v>Normal</x:v>
      </x:c>
      <x:c r="I172" s="40" t="str">
        <x:f>IF(E172="Concluído","Concluído",IF(A172&lt;TODAY(),"Atrasado",IF(A172=TODAY(),"Hoje","Futuro")))</x:f>
        <x:v>Futuro</x:v>
      </x:c>
      <x:c r="J172" s="43" t="n">
        <x:f>IF(OR(E172="Concluído",A172&gt;=TODAY()),0,TODAY()-A172)</x:f>
        <x:v>0</x:v>
      </x:c>
      <x:c r="K172" s="40" t="str"/>
    </x:row>
    <x:row r="173">
      <x:c r="A173" s="34" t="n">
        <x:v>46261</x:v>
      </x:c>
      <x:c r="B173" s="40" t="str">
        <x:v>Língua Inglesa</x:v>
      </x:c>
      <x:c r="C173" s="40" t="str">
        <x:v>10 - Língua Inglesa - Technology Has Created More Jobs II</x:v>
      </x:c>
      <x:c r="D173" s="40" t="str">
        <x:v>Videoaula</x:v>
      </x:c>
      <x:c r="E173" s="40" t="str">
        <x:v>Não iniciado</x:v>
      </x:c>
      <x:c r="F173" s="41" t="str"/>
      <x:c r="G173" s="42" t="str"/>
      <x:c r="H173" s="40" t="str">
        <x:v>Normal</x:v>
      </x:c>
      <x:c r="I173" s="40" t="str">
        <x:f>IF(E173="Concluído","Concluído",IF(A173&lt;TODAY(),"Atrasado",IF(A173=TODAY(),"Hoje","Futuro")))</x:f>
        <x:v>Futuro</x:v>
      </x:c>
      <x:c r="J173" s="43" t="n">
        <x:f>IF(OR(E173="Concluído",A173&gt;=TODAY()),0,TODAY()-A173)</x:f>
        <x:v>0</x:v>
      </x:c>
      <x:c r="K173" s="40" t="str"/>
    </x:row>
    <x:row r="174">
      <x:c r="A174" s="34" t="n">
        <x:v>46261</x:v>
      </x:c>
      <x:c r="B174" s="40" t="str">
        <x:v>Língua Inglesa</x:v>
      </x:c>
      <x:c r="C174" s="40" t="str">
        <x:v>11 - Língua Inglesa - Technology Has Created More Jobs III</x:v>
      </x:c>
      <x:c r="D174" s="40" t="str">
        <x:v>Videoaula</x:v>
      </x:c>
      <x:c r="E174" s="40" t="str">
        <x:v>Não iniciado</x:v>
      </x:c>
      <x:c r="F174" s="41" t="str"/>
      <x:c r="G174" s="42" t="str"/>
      <x:c r="H174" s="40" t="str">
        <x:v>Normal</x:v>
      </x:c>
      <x:c r="I174" s="40" t="str">
        <x:f>IF(E174="Concluído","Concluído",IF(A174&lt;TODAY(),"Atrasado",IF(A174=TODAY(),"Hoje","Futuro")))</x:f>
        <x:v>Futuro</x:v>
      </x:c>
      <x:c r="J174" s="43" t="n">
        <x:f>IF(OR(E174="Concluído",A174&gt;=TODAY()),0,TODAY()-A174)</x:f>
        <x:v>0</x:v>
      </x:c>
      <x:c r="K174" s="40" t="str"/>
    </x:row>
    <x:row r="175">
      <x:c r="A175" s="34" t="n">
        <x:v>46261</x:v>
      </x:c>
      <x:c r="B175" s="40" t="str">
        <x:v>Raciocínio Lógico</x:v>
      </x:c>
      <x:c r="C175" s="40" t="str">
        <x:v>10 - Validade de um Argumento - Premissas Compostas e Conclusões sem Conectivos</x:v>
      </x:c>
      <x:c r="D175" s="40" t="str">
        <x:v>Videoaula</x:v>
      </x:c>
      <x:c r="E175" s="40" t="str">
        <x:v>Não iniciado</x:v>
      </x:c>
      <x:c r="F175" s="41" t="str"/>
      <x:c r="G175" s="42" t="str"/>
      <x:c r="H175" s="40" t="str">
        <x:v>Normal</x:v>
      </x:c>
      <x:c r="I175" s="40" t="str">
        <x:f>IF(E175="Concluído","Concluído",IF(A175&lt;TODAY(),"Atrasado",IF(A175=TODAY(),"Hoje","Futuro")))</x:f>
        <x:v>Futuro</x:v>
      </x:c>
      <x:c r="J175" s="43" t="n">
        <x:f>IF(OR(E175="Concluído",A175&gt;=TODAY()),0,TODAY()-A175)</x:f>
        <x:v>0</x:v>
      </x:c>
      <x:c r="K175" s="40" t="str"/>
    </x:row>
    <x:row r="176">
      <x:c r="A176" s="34" t="n">
        <x:v>46261</x:v>
      </x:c>
      <x:c r="B176" s="40" t="str">
        <x:v>Raciocínio Lógico</x:v>
      </x:c>
      <x:c r="C176" s="40" t="str">
        <x:v>11 - Validade de um Argumento - Premissas e Conclusões Compostas</x:v>
      </x:c>
      <x:c r="D176" s="40" t="str">
        <x:v>Videoaula</x:v>
      </x:c>
      <x:c r="E176" s="40" t="str">
        <x:v>Não iniciado</x:v>
      </x:c>
      <x:c r="F176" s="41" t="str"/>
      <x:c r="G176" s="42" t="str"/>
      <x:c r="H176" s="40" t="str">
        <x:v>Normal</x:v>
      </x:c>
      <x:c r="I176" s="40" t="str">
        <x:f>IF(E176="Concluído","Concluído",IF(A176&lt;TODAY(),"Atrasado",IF(A176=TODAY(),"Hoje","Futuro")))</x:f>
        <x:v>Futuro</x:v>
      </x:c>
      <x:c r="J176" s="43" t="n">
        <x:f>IF(OR(E176="Concluído",A176&gt;=TODAY()),0,TODAY()-A176)</x:f>
        <x:v>0</x:v>
      </x:c>
      <x:c r="K176" s="40" t="str"/>
    </x:row>
    <x:row r="177">
      <x:c r="A177" s="34" t="n">
        <x:v>46261</x:v>
      </x:c>
      <x:c r="B177" s="40" t="str">
        <x:v>Atualidades e Inteligência Artificial</x:v>
      </x:c>
      <x:c r="C177" s="40" t="str">
        <x:v>10 - Cultura II</x:v>
      </x:c>
      <x:c r="D177" s="40" t="str">
        <x:v>Videoaula</x:v>
      </x:c>
      <x:c r="E177" s="40" t="str">
        <x:v>Não iniciado</x:v>
      </x:c>
      <x:c r="F177" s="41" t="str"/>
      <x:c r="G177" s="42" t="str"/>
      <x:c r="H177" s="40" t="str">
        <x:v>Normal</x:v>
      </x:c>
      <x:c r="I177" s="40" t="str">
        <x:f>IF(E177="Concluído","Concluído",IF(A177&lt;TODAY(),"Atrasado",IF(A177=TODAY(),"Hoje","Futuro")))</x:f>
        <x:v>Futuro</x:v>
      </x:c>
      <x:c r="J177" s="43" t="n">
        <x:f>IF(OR(E177="Concluído",A177&gt;=TODAY()),0,TODAY()-A177)</x:f>
        <x:v>0</x:v>
      </x:c>
      <x:c r="K177" s="40" t="str"/>
    </x:row>
    <x:row r="178">
      <x:c r="A178" s="34" t="n">
        <x:v>46261</x:v>
      </x:c>
      <x:c r="B178" s="40" t="str">
        <x:v>Atualidades e Inteligência Artificial</x:v>
      </x:c>
      <x:c r="C178" s="40" t="str">
        <x:v>11 - Desenvolvimento Sustentável e Meio Ambiente</x:v>
      </x:c>
      <x:c r="D178" s="40" t="str">
        <x:v>Videoaula</x:v>
      </x:c>
      <x:c r="E178" s="40" t="str">
        <x:v>Não iniciado</x:v>
      </x:c>
      <x:c r="F178" s="41" t="str"/>
      <x:c r="G178" s="42" t="str"/>
      <x:c r="H178" s="40" t="str">
        <x:v>Normal</x:v>
      </x:c>
      <x:c r="I178" s="40" t="str">
        <x:f>IF(E178="Concluído","Concluído",IF(A178&lt;TODAY(),"Atrasado",IF(A178=TODAY(),"Hoje","Futuro")))</x:f>
        <x:v>Futuro</x:v>
      </x:c>
      <x:c r="J178" s="43" t="n">
        <x:f>IF(OR(E178="Concluído",A178&gt;=TODAY()),0,TODAY()-A178)</x:f>
        <x:v>0</x:v>
      </x:c>
      <x:c r="K178" s="40" t="str"/>
    </x:row>
    <x:row r="179">
      <x:c r="A179" s="34" t="n">
        <x:v>46262</x:v>
      </x:c>
      <x:c r="B179" s="40" t="str">
        <x:v>Atualidades e Inteligência Artificial</x:v>
      </x:c>
      <x:c r="C179" s="40" t="str">
        <x:v>11 - Desenvolvimento Sustentável e Meio Ambiente</x:v>
      </x:c>
      <x:c r="D179" s="40" t="str">
        <x:v>Videoaula</x:v>
      </x:c>
      <x:c r="E179" s="40" t="str">
        <x:v>Não iniciado</x:v>
      </x:c>
      <x:c r="F179" s="41" t="str"/>
      <x:c r="G179" s="42" t="str"/>
      <x:c r="H179" s="40" t="str">
        <x:v>Normal</x:v>
      </x:c>
      <x:c r="I179" s="40" t="str">
        <x:f>IF(E179="Concluído","Concluído",IF(A179&lt;TODAY(),"Atrasado",IF(A179=TODAY(),"Hoje","Futuro")))</x:f>
        <x:v>Futuro</x:v>
      </x:c>
      <x:c r="J179" s="43" t="n">
        <x:f>IF(OR(E179="Concluído",A179&gt;=TODAY()),0,TODAY()-A179)</x:f>
        <x:v>0</x:v>
      </x:c>
      <x:c r="K179" s="40" t="str"/>
    </x:row>
    <x:row r="180">
      <x:c r="A180" s="34" t="n">
        <x:v>46262</x:v>
      </x:c>
      <x:c r="B180" s="40" t="str">
        <x:v>Legislação Acerca de Segurança da Informação e Proteção de Dados</x:v>
      </x:c>
      <x:c r="C180" s="40" t="str">
        <x:v>4 - Decreto nº 7.724/2012 - Art. 35 ao Art. 65</x:v>
      </x:c>
      <x:c r="D180" s="40" t="str">
        <x:v>Videoaula</x:v>
      </x:c>
      <x:c r="E180" s="40" t="str">
        <x:v>Não iniciado</x:v>
      </x:c>
      <x:c r="F180" s="41" t="str"/>
      <x:c r="G180" s="42" t="str"/>
      <x:c r="H180" s="40" t="str">
        <x:v>Normal</x:v>
      </x:c>
      <x:c r="I180" s="40" t="str">
        <x:f>IF(E180="Concluído","Concluído",IF(A180&lt;TODAY(),"Atrasado",IF(A180=TODAY(),"Hoje","Futuro")))</x:f>
        <x:v>Futuro</x:v>
      </x:c>
      <x:c r="J180" s="43" t="n">
        <x:f>IF(OR(E180="Concluído",A180&gt;=TODAY()),0,TODAY()-A180)</x:f>
        <x:v>0</x:v>
      </x:c>
      <x:c r="K180" s="40" t="str"/>
    </x:row>
    <x:row r="181">
      <x:c r="A181" s="34" t="n">
        <x:v>46262</x:v>
      </x:c>
      <x:c r="B181" s="40" t="str">
        <x:v>Legislação Acerca de Segurança da Informação e Proteção de Dados</x:v>
      </x:c>
      <x:c r="C181" s="40" t="str">
        <x:v>5 - Decreto nº 7.724/2012 - Art. 66 ao Art. 76</x:v>
      </x:c>
      <x:c r="D181" s="40" t="str">
        <x:v>Videoaula</x:v>
      </x:c>
      <x:c r="E181" s="40" t="str">
        <x:v>Não iniciado</x:v>
      </x:c>
      <x:c r="F181" s="41" t="str"/>
      <x:c r="G181" s="42" t="str"/>
      <x:c r="H181" s="40" t="str">
        <x:v>Normal</x:v>
      </x:c>
      <x:c r="I181" s="40" t="str">
        <x:f>IF(E181="Concluído","Concluído",IF(A181&lt;TODAY(),"Atrasado",IF(A181=TODAY(),"Hoje","Futuro")))</x:f>
        <x:v>Futuro</x:v>
      </x:c>
      <x:c r="J181" s="43" t="n">
        <x:f>IF(OR(E181="Concluído",A181&gt;=TODAY()),0,TODAY()-A181)</x:f>
        <x:v>0</x:v>
      </x:c>
      <x:c r="K181" s="40" t="str"/>
    </x:row>
    <x:row r="182">
      <x:c r="A182" s="34" t="n">
        <x:v>46262</x:v>
      </x:c>
      <x:c r="B182" s="40" t="str">
        <x:v>Gestão e Governança de Tecnologia da Informação</x:v>
      </x:c>
      <x:c r="C182" s="40" t="str">
        <x:v>10 - Lei 13.303/2016 - Procedimento de Licitação</x:v>
      </x:c>
      <x:c r="D182" s="40" t="str">
        <x:v>Videoaula</x:v>
      </x:c>
      <x:c r="E182" s="40" t="str">
        <x:v>Não iniciado</x:v>
      </x:c>
      <x:c r="F182" s="41" t="str"/>
      <x:c r="G182" s="42" t="str"/>
      <x:c r="H182" s="40" t="str">
        <x:v>Normal</x:v>
      </x:c>
      <x:c r="I182" s="40" t="str">
        <x:f>IF(E182="Concluído","Concluído",IF(A182&lt;TODAY(),"Atrasado",IF(A182=TODAY(),"Hoje","Futuro")))</x:f>
        <x:v>Futuro</x:v>
      </x:c>
      <x:c r="J182" s="43" t="n">
        <x:f>IF(OR(E182="Concluído",A182&gt;=TODAY()),0,TODAY()-A182)</x:f>
        <x:v>0</x:v>
      </x:c>
      <x:c r="K182" s="40" t="str"/>
    </x:row>
    <x:row r="183">
      <x:c r="A183" s="34" t="n">
        <x:v>46262</x:v>
      </x:c>
      <x:c r="B183" s="40" t="str">
        <x:v>Gestão e Governança de Tecnologia da Informação</x:v>
      </x:c>
      <x:c r="C183" s="40" t="str">
        <x:v>11 - Lei 13.303/2016 - Procedimento de Licitação II</x:v>
      </x:c>
      <x:c r="D183" s="40" t="str">
        <x:v>Videoaula</x:v>
      </x:c>
      <x:c r="E183" s="40" t="str">
        <x:v>Não iniciado</x:v>
      </x:c>
      <x:c r="F183" s="41" t="str"/>
      <x:c r="G183" s="42" t="str"/>
      <x:c r="H183" s="40" t="str">
        <x:v>Normal</x:v>
      </x:c>
      <x:c r="I183" s="40" t="str">
        <x:f>IF(E183="Concluído","Concluído",IF(A183&lt;TODAY(),"Atrasado",IF(A183=TODAY(),"Hoje","Futuro")))</x:f>
        <x:v>Futuro</x:v>
      </x:c>
      <x:c r="J183" s="43" t="n">
        <x:f>IF(OR(E183="Concluído",A183&gt;=TODAY()),0,TODAY()-A183)</x:f>
        <x:v>0</x:v>
      </x:c>
      <x:c r="K183" s="40" t="str"/>
    </x:row>
    <x:row r="184">
      <x:c r="A184" s="34" t="n">
        <x:v>46263</x:v>
      </x:c>
      <x:c r="B184" s="40" t="str">
        <x:v>Gestão e Governança de Tecnologia da Informação</x:v>
      </x:c>
      <x:c r="C184" s="40" t="str">
        <x:v>11 - Lei 13.303/2016 - Procedimento de Licitação II</x:v>
      </x:c>
      <x:c r="D184" s="40" t="str">
        <x:v>Videoaula</x:v>
      </x:c>
      <x:c r="E184" s="40" t="str">
        <x:v>Não iniciado</x:v>
      </x:c>
      <x:c r="F184" s="41" t="str"/>
      <x:c r="G184" s="42" t="str"/>
      <x:c r="H184" s="40" t="str">
        <x:v>Normal</x:v>
      </x:c>
      <x:c r="I184" s="40" t="str">
        <x:f>IF(E184="Concluído","Concluído",IF(A184&lt;TODAY(),"Atrasado",IF(A184=TODAY(),"Hoje","Futuro")))</x:f>
        <x:v>Futuro</x:v>
      </x:c>
      <x:c r="J184" s="43" t="n">
        <x:f>IF(OR(E184="Concluído",A184&gt;=TODAY()),0,TODAY()-A184)</x:f>
        <x:v>0</x:v>
      </x:c>
      <x:c r="K184" s="40" t="str"/>
    </x:row>
    <x:row r="185">
      <x:c r="A185" s="34" t="n">
        <x:v>46263</x:v>
      </x:c>
      <x:c r="B185" s="40" t="str">
        <x:v>Banco de Dados</x:v>
      </x:c>
      <x:c r="C185" s="40" t="str">
        <x:v>10 - Sistema de Banco de Dados Avançado - Views</x:v>
      </x:c>
      <x:c r="D185" s="40" t="str">
        <x:v>Videoaula</x:v>
      </x:c>
      <x:c r="E185" s="40" t="str">
        <x:v>Não iniciado</x:v>
      </x:c>
      <x:c r="F185" s="41" t="str"/>
      <x:c r="G185" s="42" t="str"/>
      <x:c r="H185" s="40" t="str">
        <x:v>Normal</x:v>
      </x:c>
      <x:c r="I185" s="40" t="str">
        <x:f>IF(E185="Concluído","Concluído",IF(A185&lt;TODAY(),"Atrasado",IF(A185=TODAY(),"Hoje","Futuro")))</x:f>
        <x:v>Futuro</x:v>
      </x:c>
      <x:c r="J185" s="43" t="n">
        <x:f>IF(OR(E185="Concluído",A185&gt;=TODAY()),0,TODAY()-A185)</x:f>
        <x:v>0</x:v>
      </x:c>
      <x:c r="K185" s="40" t="str"/>
    </x:row>
    <x:row r="186">
      <x:c r="A186" s="34" t="n">
        <x:v>46263</x:v>
      </x:c>
      <x:c r="B186" s="40" t="str">
        <x:v>Banco de Dados</x:v>
      </x:c>
      <x:c r="C186" s="40" t="str">
        <x:v>11 - Sistema de Banco de Dados Avançado - Gatilhos e Stored Procedures</x:v>
      </x:c>
      <x:c r="D186" s="40" t="str">
        <x:v>Videoaula</x:v>
      </x:c>
      <x:c r="E186" s="40" t="str">
        <x:v>Não iniciado</x:v>
      </x:c>
      <x:c r="F186" s="41" t="str"/>
      <x:c r="G186" s="42" t="str"/>
      <x:c r="H186" s="40" t="str">
        <x:v>Normal</x:v>
      </x:c>
      <x:c r="I186" s="40" t="str">
        <x:f>IF(E186="Concluído","Concluído",IF(A186&lt;TODAY(),"Atrasado",IF(A186=TODAY(),"Hoje","Futuro")))</x:f>
        <x:v>Futuro</x:v>
      </x:c>
      <x:c r="J186" s="43" t="n">
        <x:f>IF(OR(E186="Concluído",A186&gt;=TODAY()),0,TODAY()-A186)</x:f>
        <x:v>0</x:v>
      </x:c>
      <x:c r="K186" s="40" t="str"/>
    </x:row>
    <x:row r="187">
      <x:c r="A187" s="34" t="n">
        <x:v>46263</x:v>
      </x:c>
      <x:c r="B187" s="40" t="str">
        <x:v>Língua Portuguesa</x:v>
      </x:c>
      <x:c r="C187" s="40" t="str">
        <x:v>6 - Coesão e Coerência</x:v>
      </x:c>
      <x:c r="D187" s="40" t="str">
        <x:v>Pdf</x:v>
      </x:c>
      <x:c r="E187" s="40" t="str">
        <x:v>Não iniciado</x:v>
      </x:c>
      <x:c r="F187" s="41" t="str"/>
      <x:c r="G187" s="42" t="str"/>
      <x:c r="H187" s="40" t="str">
        <x:v>Normal</x:v>
      </x:c>
      <x:c r="I187" s="40" t="str">
        <x:f>IF(E187="Concluído","Concluído",IF(A187&lt;TODAY(),"Atrasado",IF(A187=TODAY(),"Hoje","Futuro")))</x:f>
        <x:v>Futuro</x:v>
      </x:c>
      <x:c r="J187" s="43" t="n">
        <x:f>IF(OR(E187="Concluído",A187&gt;=TODAY()),0,TODAY()-A187)</x:f>
        <x:v>0</x:v>
      </x:c>
      <x:c r="K187" s="40" t="str"/>
    </x:row>
    <x:row r="188">
      <x:c r="A188" s="34" t="n">
        <x:v>46263</x:v>
      </x:c>
      <x:c r="B188" s="40" t="str">
        <x:v>Língua Inglesa</x:v>
      </x:c>
      <x:c r="C188" s="40" t="str">
        <x:v>6 - Vocabulário e Gramática - Parte III</x:v>
      </x:c>
      <x:c r="D188" s="40" t="str">
        <x:v>Pdf</x:v>
      </x:c>
      <x:c r="E188" s="40" t="str">
        <x:v>Não iniciado</x:v>
      </x:c>
      <x:c r="F188" s="41" t="str"/>
      <x:c r="G188" s="42" t="str"/>
      <x:c r="H188" s="40" t="str">
        <x:v>Normal</x:v>
      </x:c>
      <x:c r="I188" s="40" t="str">
        <x:f>IF(E188="Concluído","Concluído",IF(A188&lt;TODAY(),"Atrasado",IF(A188=TODAY(),"Hoje","Futuro")))</x:f>
        <x:v>Futuro</x:v>
      </x:c>
      <x:c r="J188" s="43" t="n">
        <x:f>IF(OR(E188="Concluído",A188&gt;=TODAY()),0,TODAY()-A188)</x:f>
        <x:v>0</x:v>
      </x:c>
      <x:c r="K188" s="40" t="str"/>
    </x:row>
    <x:row r="189">
      <x:c r="A189" s="34" t="n">
        <x:v>46264</x:v>
      </x:c>
      <x:c r="B189" s="40" t="str">
        <x:v>Língua Inglesa</x:v>
      </x:c>
      <x:c r="C189" s="40" t="str">
        <x:v>6 - Vocabulário e Gramática - Parte III</x:v>
      </x:c>
      <x:c r="D189" s="40" t="str">
        <x:v>Pdf</x:v>
      </x:c>
      <x:c r="E189" s="40" t="str">
        <x:v>Não iniciado</x:v>
      </x:c>
      <x:c r="F189" s="41" t="str"/>
      <x:c r="G189" s="42" t="str"/>
      <x:c r="H189" s="40" t="str">
        <x:v>Normal</x:v>
      </x:c>
      <x:c r="I189" s="40" t="str">
        <x:f>IF(E189="Concluído","Concluído",IF(A189&lt;TODAY(),"Atrasado",IF(A189=TODAY(),"Hoje","Futuro")))</x:f>
        <x:v>Futuro</x:v>
      </x:c>
      <x:c r="J189" s="43" t="n">
        <x:f>IF(OR(E189="Concluído",A189&gt;=TODAY()),0,TODAY()-A189)</x:f>
        <x:v>0</x:v>
      </x:c>
      <x:c r="K189" s="40" t="str"/>
    </x:row>
    <x:row r="190">
      <x:c r="A190" s="34" t="n">
        <x:v>46264</x:v>
      </x:c>
      <x:c r="B190" s="40" t="str">
        <x:v>Raciocínio Lógico</x:v>
      </x:c>
      <x:c r="C190" s="40" t="str">
        <x:v>6 - Lógica de Argumentação</x:v>
      </x:c>
      <x:c r="D190" s="40" t="str">
        <x:v>Pdf</x:v>
      </x:c>
      <x:c r="E190" s="40" t="str">
        <x:v>Não iniciado</x:v>
      </x:c>
      <x:c r="F190" s="41" t="str"/>
      <x:c r="G190" s="42" t="str"/>
      <x:c r="H190" s="40" t="str">
        <x:v>Normal</x:v>
      </x:c>
      <x:c r="I190" s="40" t="str">
        <x:f>IF(E190="Concluído","Concluído",IF(A190&lt;TODAY(),"Atrasado",IF(A190=TODAY(),"Hoje","Futuro")))</x:f>
        <x:v>Futuro</x:v>
      </x:c>
      <x:c r="J190" s="43" t="n">
        <x:f>IF(OR(E190="Concluído",A190&gt;=TODAY()),0,TODAY()-A190)</x:f>
        <x:v>0</x:v>
      </x:c>
      <x:c r="K190" s="40" t="str"/>
    </x:row>
    <x:row r="191">
      <x:c r="A191" s="34" t="n">
        <x:v>46264</x:v>
      </x:c>
      <x:c r="B191" s="40" t="str">
        <x:v>Revisão</x:v>
      </x:c>
      <x:c r="C191" s="40" t="str">
        <x:v>Revisão</x:v>
      </x:c>
      <x:c r="D191" s="40" t="str">
        <x:v>Revisao</x:v>
      </x:c>
      <x:c r="E191" s="40" t="str">
        <x:v>Não iniciado</x:v>
      </x:c>
      <x:c r="F191" s="41" t="str"/>
      <x:c r="G191" s="42" t="str"/>
      <x:c r="H191" s="40" t="str">
        <x:v>Normal</x:v>
      </x:c>
      <x:c r="I191" s="40" t="str">
        <x:f>IF(E191="Concluído","Concluído",IF(A191&lt;TODAY(),"Atrasado",IF(A191=TODAY(),"Hoje","Futuro")))</x:f>
        <x:v>Futuro</x:v>
      </x:c>
      <x:c r="J191" s="43" t="n">
        <x:f>IF(OR(E191="Concluído",A191&gt;=TODAY()),0,TODAY()-A191)</x:f>
        <x:v>0</x:v>
      </x:c>
      <x:c r="K191" s="40" t="str"/>
    </x:row>
    <x:row r="192">
      <x:c r="A192" s="34" t="n">
        <x:v>46265</x:v>
      </x:c>
      <x:c r="B192" s="40" t="str">
        <x:v>Raciocínio Lógico</x:v>
      </x:c>
      <x:c r="C192" s="40" t="str">
        <x:v>6 - Lógica de Argumentação</x:v>
      </x:c>
      <x:c r="D192" s="40" t="str">
        <x:v>Pdf</x:v>
      </x:c>
      <x:c r="E192" s="40" t="str">
        <x:v>Não iniciado</x:v>
      </x:c>
      <x:c r="F192" s="41" t="str"/>
      <x:c r="G192" s="42" t="str"/>
      <x:c r="H192" s="40" t="str">
        <x:v>Normal</x:v>
      </x:c>
      <x:c r="I192" s="40" t="str">
        <x:f>IF(E192="Concluído","Concluído",IF(A192&lt;TODAY(),"Atrasado",IF(A192=TODAY(),"Hoje","Futuro")))</x:f>
        <x:v>Futuro</x:v>
      </x:c>
      <x:c r="J192" s="43" t="n">
        <x:f>IF(OR(E192="Concluído",A192&gt;=TODAY()),0,TODAY()-A192)</x:f>
        <x:v>0</x:v>
      </x:c>
      <x:c r="K192" s="40" t="str"/>
    </x:row>
    <x:row r="193">
      <x:c r="A193" s="34" t="n">
        <x:v>46265</x:v>
      </x:c>
      <x:c r="B193" s="40" t="str">
        <x:v>Legislação Acerca de Segurança da Informação e Proteção de Dados</x:v>
      </x:c>
      <x:c r="C193" s="40" t="str">
        <x:v>2 - Decreto n. 7.845/2012 - Credenciamento de Segurança e Tratamento de Informação Classificada em Qualquer Grau de Sigilo</x:v>
      </x:c>
      <x:c r="D193" s="40" t="str">
        <x:v>Pdf</x:v>
      </x:c>
      <x:c r="E193" s="40" t="str">
        <x:v>Não iniciado</x:v>
      </x:c>
      <x:c r="F193" s="41" t="str"/>
      <x:c r="G193" s="42" t="str"/>
      <x:c r="H193" s="40" t="str">
        <x:v>Normal</x:v>
      </x:c>
      <x:c r="I193" s="40" t="str">
        <x:f>IF(E193="Concluído","Concluído",IF(A193&lt;TODAY(),"Atrasado",IF(A193=TODAY(),"Hoje","Futuro")))</x:f>
        <x:v>Futuro</x:v>
      </x:c>
      <x:c r="J193" s="43" t="n">
        <x:f>IF(OR(E193="Concluído",A193&gt;=TODAY()),0,TODAY()-A193)</x:f>
        <x:v>0</x:v>
      </x:c>
      <x:c r="K193" s="40" t="str"/>
    </x:row>
    <x:row r="194">
      <x:c r="A194" s="34" t="n">
        <x:v>46265</x:v>
      </x:c>
      <x:c r="B194" s="40" t="str">
        <x:v>Inteligência Emocional</x:v>
      </x:c>
      <x:c r="C194" s="40" t="str">
        <x:v>6 - ELO 6: Positividade Tóxica</x:v>
      </x:c>
      <x:c r="D194" s="40" t="str">
        <x:v>Pdf</x:v>
      </x:c>
      <x:c r="E194" s="40" t="str">
        <x:v>Não iniciado</x:v>
      </x:c>
      <x:c r="F194" s="41" t="str"/>
      <x:c r="G194" s="42" t="str"/>
      <x:c r="H194" s="40" t="str">
        <x:v>Normal</x:v>
      </x:c>
      <x:c r="I194" s="40" t="str">
        <x:f>IF(E194="Concluído","Concluído",IF(A194&lt;TODAY(),"Atrasado",IF(A194=TODAY(),"Hoje","Futuro")))</x:f>
        <x:v>Futuro</x:v>
      </x:c>
      <x:c r="J194" s="43" t="n">
        <x:f>IF(OR(E194="Concluído",A194&gt;=TODAY()),0,TODAY()-A194)</x:f>
        <x:v>0</x:v>
      </x:c>
      <x:c r="K194" s="40" t="str"/>
    </x:row>
    <x:row r="195">
      <x:c r="A195" s="34" t="n">
        <x:v>46266</x:v>
      </x:c>
      <x:c r="B195" s="40" t="str">
        <x:v>Inteligência Emocional</x:v>
      </x:c>
      <x:c r="C195" s="40" t="str">
        <x:v>6 - ELO 6: Positividade Tóxica</x:v>
      </x:c>
      <x:c r="D195" s="40" t="str">
        <x:v>Pdf</x:v>
      </x:c>
      <x:c r="E195" s="40" t="str">
        <x:v>Não iniciado</x:v>
      </x:c>
      <x:c r="F195" s="41" t="str"/>
      <x:c r="G195" s="42" t="str"/>
      <x:c r="H195" s="40" t="str">
        <x:v>Normal</x:v>
      </x:c>
      <x:c r="I195" s="40" t="str">
        <x:f>IF(E195="Concluído","Concluído",IF(A195&lt;TODAY(),"Atrasado",IF(A195=TODAY(),"Hoje","Futuro")))</x:f>
        <x:v>Futuro</x:v>
      </x:c>
      <x:c r="J195" s="43" t="n">
        <x:f>IF(OR(E195="Concluído",A195&gt;=TODAY()),0,TODAY()-A195)</x:f>
        <x:v>0</x:v>
      </x:c>
      <x:c r="K195" s="40" t="str"/>
    </x:row>
    <x:row r="196">
      <x:c r="A196" s="34" t="n">
        <x:v>46266</x:v>
      </x:c>
      <x:c r="B196" s="40" t="str">
        <x:v>Língua Portuguesa</x:v>
      </x:c>
      <x:c r="C196" s="40" t="str">
        <x:v>12 - Registros de Linguagem</x:v>
      </x:c>
      <x:c r="D196" s="40" t="str">
        <x:v>Videoaula</x:v>
      </x:c>
      <x:c r="E196" s="40" t="str">
        <x:v>Não iniciado</x:v>
      </x:c>
      <x:c r="F196" s="41" t="str"/>
      <x:c r="G196" s="42" t="str"/>
      <x:c r="H196" s="40" t="str">
        <x:v>Normal</x:v>
      </x:c>
      <x:c r="I196" s="40" t="str">
        <x:f>IF(E196="Concluído","Concluído",IF(A196&lt;TODAY(),"Atrasado",IF(A196=TODAY(),"Hoje","Futuro")))</x:f>
        <x:v>Futuro</x:v>
      </x:c>
      <x:c r="J196" s="43" t="n">
        <x:f>IF(OR(E196="Concluído",A196&gt;=TODAY()),0,TODAY()-A196)</x:f>
        <x:v>0</x:v>
      </x:c>
      <x:c r="K196" s="40" t="str"/>
    </x:row>
    <x:row r="197">
      <x:c r="A197" s="34" t="n">
        <x:v>46266</x:v>
      </x:c>
      <x:c r="B197" s="40" t="str">
        <x:v>Língua Portuguesa</x:v>
      </x:c>
      <x:c r="C197" s="40" t="str">
        <x:v>13 - Modos de Organização Discursiva</x:v>
      </x:c>
      <x:c r="D197" s="40" t="str">
        <x:v>Videoaula</x:v>
      </x:c>
      <x:c r="E197" s="40" t="str">
        <x:v>Não iniciado</x:v>
      </x:c>
      <x:c r="F197" s="41" t="str"/>
      <x:c r="G197" s="42" t="str"/>
      <x:c r="H197" s="40" t="str">
        <x:v>Normal</x:v>
      </x:c>
      <x:c r="I197" s="40" t="str">
        <x:f>IF(E197="Concluído","Concluído",IF(A197&lt;TODAY(),"Atrasado",IF(A197=TODAY(),"Hoje","Futuro")))</x:f>
        <x:v>Futuro</x:v>
      </x:c>
      <x:c r="J197" s="43" t="n">
        <x:f>IF(OR(E197="Concluído",A197&gt;=TODAY()),0,TODAY()-A197)</x:f>
        <x:v>0</x:v>
      </x:c>
      <x:c r="K197" s="40" t="str"/>
    </x:row>
    <x:row r="198">
      <x:c r="A198" s="34" t="n">
        <x:v>46266</x:v>
      </x:c>
      <x:c r="B198" s="40" t="str">
        <x:v>Língua Inglesa</x:v>
      </x:c>
      <x:c r="C198" s="40" t="str">
        <x:v>12 - Língua Inglesa - Human Genome Editing Potential Genome Seeds Of Conflict</x:v>
      </x:c>
      <x:c r="D198" s="40" t="str">
        <x:v>Videoaula</x:v>
      </x:c>
      <x:c r="E198" s="40" t="str">
        <x:v>Não iniciado</x:v>
      </x:c>
      <x:c r="F198" s="41" t="str"/>
      <x:c r="G198" s="42" t="str"/>
      <x:c r="H198" s="40" t="str">
        <x:v>Normal</x:v>
      </x:c>
      <x:c r="I198" s="40" t="str">
        <x:f>IF(E198="Concluído","Concluído",IF(A198&lt;TODAY(),"Atrasado",IF(A198=TODAY(),"Hoje","Futuro")))</x:f>
        <x:v>Futuro</x:v>
      </x:c>
      <x:c r="J198" s="43" t="n">
        <x:f>IF(OR(E198="Concluído",A198&gt;=TODAY()),0,TODAY()-A198)</x:f>
        <x:v>0</x:v>
      </x:c>
      <x:c r="K198" s="40" t="str"/>
    </x:row>
    <x:row r="199">
      <x:c r="A199" s="34" t="n">
        <x:v>46267</x:v>
      </x:c>
      <x:c r="B199" s="40" t="str">
        <x:v>Língua Inglesa</x:v>
      </x:c>
      <x:c r="C199" s="40" t="str">
        <x:v>12 - Língua Inglesa - Human Genome Editing Potential Genome Seeds Of Conflict</x:v>
      </x:c>
      <x:c r="D199" s="40" t="str">
        <x:v>Videoaula</x:v>
      </x:c>
      <x:c r="E199" s="40" t="str">
        <x:v>Não iniciado</x:v>
      </x:c>
      <x:c r="F199" s="41" t="str"/>
      <x:c r="G199" s="42" t="str"/>
      <x:c r="H199" s="40" t="str">
        <x:v>Normal</x:v>
      </x:c>
      <x:c r="I199" s="40" t="str">
        <x:f>IF(E199="Concluído","Concluído",IF(A199&lt;TODAY(),"Atrasado",IF(A199=TODAY(),"Hoje","Futuro")))</x:f>
        <x:v>Futuro</x:v>
      </x:c>
      <x:c r="J199" s="43" t="n">
        <x:f>IF(OR(E199="Concluído",A199&gt;=TODAY()),0,TODAY()-A199)</x:f>
        <x:v>0</x:v>
      </x:c>
      <x:c r="K199" s="40" t="str"/>
    </x:row>
    <x:row r="200">
      <x:c r="A200" s="34" t="n">
        <x:v>46267</x:v>
      </x:c>
      <x:c r="B200" s="40" t="str">
        <x:v>Língua Inglesa</x:v>
      </x:c>
      <x:c r="C200" s="40" t="str">
        <x:v>13 - Língua Inglesa - Human Genome Editing Potential Genome Seeds Of Conflict II</x:v>
      </x:c>
      <x:c r="D200" s="40" t="str">
        <x:v>Videoaula</x:v>
      </x:c>
      <x:c r="E200" s="40" t="str">
        <x:v>Não iniciado</x:v>
      </x:c>
      <x:c r="F200" s="41" t="str"/>
      <x:c r="G200" s="42" t="str"/>
      <x:c r="H200" s="40" t="str">
        <x:v>Normal</x:v>
      </x:c>
      <x:c r="I200" s="40" t="str">
        <x:f>IF(E200="Concluído","Concluído",IF(A200&lt;TODAY(),"Atrasado",IF(A200=TODAY(),"Hoje","Futuro")))</x:f>
        <x:v>Futuro</x:v>
      </x:c>
      <x:c r="J200" s="43" t="n">
        <x:f>IF(OR(E200="Concluído",A200&gt;=TODAY()),0,TODAY()-A200)</x:f>
        <x:v>0</x:v>
      </x:c>
      <x:c r="K200" s="40" t="str"/>
    </x:row>
    <x:row r="201">
      <x:c r="A201" s="34" t="n">
        <x:v>46267</x:v>
      </x:c>
      <x:c r="B201" s="40" t="str">
        <x:v>Raciocínio Lógico</x:v>
      </x:c>
      <x:c r="C201" s="40" t="str">
        <x:v>12 - Sequência de Números</x:v>
      </x:c>
      <x:c r="D201" s="40" t="str">
        <x:v>Videoaula</x:v>
      </x:c>
      <x:c r="E201" s="40" t="str">
        <x:v>Não iniciado</x:v>
      </x:c>
      <x:c r="F201" s="41" t="str"/>
      <x:c r="G201" s="42" t="str"/>
      <x:c r="H201" s="40" t="str">
        <x:v>Normal</x:v>
      </x:c>
      <x:c r="I201" s="40" t="str">
        <x:f>IF(E201="Concluído","Concluído",IF(A201&lt;TODAY(),"Atrasado",IF(A201=TODAY(),"Hoje","Futuro")))</x:f>
        <x:v>Futuro</x:v>
      </x:c>
      <x:c r="J201" s="43" t="n">
        <x:f>IF(OR(E201="Concluído",A201&gt;=TODAY()),0,TODAY()-A201)</x:f>
        <x:v>0</x:v>
      </x:c>
      <x:c r="K201" s="40" t="str"/>
    </x:row>
    <x:row r="202">
      <x:c r="A202" s="34" t="n">
        <x:v>46267</x:v>
      </x:c>
      <x:c r="B202" s="40" t="str">
        <x:v>Raciocínio Lógico</x:v>
      </x:c>
      <x:c r="C202" s="40" t="str">
        <x:v>13 - Sequência de Letras</x:v>
      </x:c>
      <x:c r="D202" s="40" t="str">
        <x:v>Videoaula</x:v>
      </x:c>
      <x:c r="E202" s="40" t="str">
        <x:v>Não iniciado</x:v>
      </x:c>
      <x:c r="F202" s="41" t="str"/>
      <x:c r="G202" s="42" t="str"/>
      <x:c r="H202" s="40" t="str">
        <x:v>Normal</x:v>
      </x:c>
      <x:c r="I202" s="40" t="str">
        <x:f>IF(E202="Concluído","Concluído",IF(A202&lt;TODAY(),"Atrasado",IF(A202=TODAY(),"Hoje","Futuro")))</x:f>
        <x:v>Futuro</x:v>
      </x:c>
      <x:c r="J202" s="43" t="n">
        <x:f>IF(OR(E202="Concluído",A202&gt;=TODAY()),0,TODAY()-A202)</x:f>
        <x:v>0</x:v>
      </x:c>
      <x:c r="K202" s="40" t="str"/>
    </x:row>
    <x:row r="203">
      <x:c r="A203" s="34" t="n">
        <x:v>46268</x:v>
      </x:c>
      <x:c r="B203" s="40" t="str">
        <x:v>Raciocínio Lógico</x:v>
      </x:c>
      <x:c r="C203" s="40" t="str">
        <x:v>13 - Sequência de Letras</x:v>
      </x:c>
      <x:c r="D203" s="40" t="str">
        <x:v>Videoaula</x:v>
      </x:c>
      <x:c r="E203" s="40" t="str">
        <x:v>Não iniciado</x:v>
      </x:c>
      <x:c r="F203" s="41" t="str"/>
      <x:c r="G203" s="42" t="str"/>
      <x:c r="H203" s="40" t="str">
        <x:v>Normal</x:v>
      </x:c>
      <x:c r="I203" s="40" t="str">
        <x:f>IF(E203="Concluído","Concluído",IF(A203&lt;TODAY(),"Atrasado",IF(A203=TODAY(),"Hoje","Futuro")))</x:f>
        <x:v>Futuro</x:v>
      </x:c>
      <x:c r="J203" s="43" t="n">
        <x:f>IF(OR(E203="Concluído",A203&gt;=TODAY()),0,TODAY()-A203)</x:f>
        <x:v>0</x:v>
      </x:c>
      <x:c r="K203" s="40" t="str"/>
    </x:row>
    <x:row r="204">
      <x:c r="A204" s="34" t="n">
        <x:v>46268</x:v>
      </x:c>
      <x:c r="B204" s="40" t="str">
        <x:v>Atualidades e Inteligência Artificial</x:v>
      </x:c>
      <x:c r="C204" s="40" t="str">
        <x:v>12 - Desenvolvimento Sustentável e Meio Ambiente - II</x:v>
      </x:c>
      <x:c r="D204" s="40" t="str">
        <x:v>Videoaula</x:v>
      </x:c>
      <x:c r="E204" s="40" t="str">
        <x:v>Não iniciado</x:v>
      </x:c>
      <x:c r="F204" s="41" t="str"/>
      <x:c r="G204" s="42" t="str"/>
      <x:c r="H204" s="40" t="str">
        <x:v>Normal</x:v>
      </x:c>
      <x:c r="I204" s="40" t="str">
        <x:f>IF(E204="Concluído","Concluído",IF(A204&lt;TODAY(),"Atrasado",IF(A204=TODAY(),"Hoje","Futuro")))</x:f>
        <x:v>Futuro</x:v>
      </x:c>
      <x:c r="J204" s="43" t="n">
        <x:f>IF(OR(E204="Concluído",A204&gt;=TODAY()),0,TODAY()-A204)</x:f>
        <x:v>0</x:v>
      </x:c>
      <x:c r="K204" s="40" t="str"/>
    </x:row>
    <x:row r="205">
      <x:c r="A205" s="34" t="n">
        <x:v>46268</x:v>
      </x:c>
      <x:c r="B205" s="40" t="str">
        <x:v>Atualidades e Inteligência Artificial</x:v>
      </x:c>
      <x:c r="C205" s="40" t="str">
        <x:v>13 - Desenvolvimento Sustentável e Meio Ambiente III</x:v>
      </x:c>
      <x:c r="D205" s="40" t="str">
        <x:v>Videoaula</x:v>
      </x:c>
      <x:c r="E205" s="40" t="str">
        <x:v>Não iniciado</x:v>
      </x:c>
      <x:c r="F205" s="41" t="str"/>
      <x:c r="G205" s="42" t="str"/>
      <x:c r="H205" s="40" t="str">
        <x:v>Normal</x:v>
      </x:c>
      <x:c r="I205" s="40" t="str">
        <x:f>IF(E205="Concluído","Concluído",IF(A205&lt;TODAY(),"Atrasado",IF(A205=TODAY(),"Hoje","Futuro")))</x:f>
        <x:v>Futuro</x:v>
      </x:c>
      <x:c r="J205" s="43" t="n">
        <x:f>IF(OR(E205="Concluído",A205&gt;=TODAY()),0,TODAY()-A205)</x:f>
        <x:v>0</x:v>
      </x:c>
      <x:c r="K205" s="40" t="str"/>
    </x:row>
    <x:row r="206">
      <x:c r="A206" s="34" t="n">
        <x:v>46268</x:v>
      </x:c>
      <x:c r="B206" s="40" t="str">
        <x:v>Legislação Acerca de Segurança da Informação e Proteção de Dados</x:v>
      </x:c>
      <x:c r="C206" s="40" t="str">
        <x:v>6 - Decreto nº 7.845/2012 e suas alterações</x:v>
      </x:c>
      <x:c r="D206" s="40" t="str">
        <x:v>Videoaula</x:v>
      </x:c>
      <x:c r="E206" s="40" t="str">
        <x:v>Não iniciado</x:v>
      </x:c>
      <x:c r="F206" s="41" t="str"/>
      <x:c r="G206" s="42" t="str"/>
      <x:c r="H206" s="40" t="str">
        <x:v>Normal</x:v>
      </x:c>
      <x:c r="I206" s="40" t="str">
        <x:f>IF(E206="Concluído","Concluído",IF(A206&lt;TODAY(),"Atrasado",IF(A206=TODAY(),"Hoje","Futuro")))</x:f>
        <x:v>Futuro</x:v>
      </x:c>
      <x:c r="J206" s="43" t="n">
        <x:f>IF(OR(E206="Concluído",A206&gt;=TODAY()),0,TODAY()-A206)</x:f>
        <x:v>0</x:v>
      </x:c>
      <x:c r="K206" s="40" t="str"/>
    </x:row>
    <x:row r="207">
      <x:c r="A207" s="34" t="n">
        <x:v>46269</x:v>
      </x:c>
      <x:c r="B207" s="40" t="str">
        <x:v>Legislação Acerca de Segurança da Informação e Proteção de Dados</x:v>
      </x:c>
      <x:c r="C207" s="40" t="str">
        <x:v>6 - Decreto nº 7.845/2012 e suas alterações</x:v>
      </x:c>
      <x:c r="D207" s="40" t="str">
        <x:v>Videoaula</x:v>
      </x:c>
      <x:c r="E207" s="40" t="str">
        <x:v>Não iniciado</x:v>
      </x:c>
      <x:c r="F207" s="41" t="str"/>
      <x:c r="G207" s="42" t="str"/>
      <x:c r="H207" s="40" t="str">
        <x:v>Normal</x:v>
      </x:c>
      <x:c r="I207" s="40" t="str">
        <x:f>IF(E207="Concluído","Concluído",IF(A207&lt;TODAY(),"Atrasado",IF(A207=TODAY(),"Hoje","Futuro")))</x:f>
        <x:v>Futuro</x:v>
      </x:c>
      <x:c r="J207" s="43" t="n">
        <x:f>IF(OR(E207="Concluído",A207&gt;=TODAY()),0,TODAY()-A207)</x:f>
        <x:v>0</x:v>
      </x:c>
      <x:c r="K207" s="40" t="str"/>
    </x:row>
    <x:row r="208">
      <x:c r="A208" s="34" t="n">
        <x:v>46269</x:v>
      </x:c>
      <x:c r="B208" s="40" t="str">
        <x:v>Legislação Acerca de Segurança da Informação e Proteção de Dados</x:v>
      </x:c>
      <x:c r="C208" s="40" t="str">
        <x:v>7 - Decreto nº 7.845/2012 e suas alterações</x:v>
      </x:c>
      <x:c r="D208" s="40" t="str">
        <x:v>Videoaula</x:v>
      </x:c>
      <x:c r="E208" s="40" t="str">
        <x:v>Não iniciado</x:v>
      </x:c>
      <x:c r="F208" s="41" t="str"/>
      <x:c r="G208" s="42" t="str"/>
      <x:c r="H208" s="40" t="str">
        <x:v>Normal</x:v>
      </x:c>
      <x:c r="I208" s="40" t="str">
        <x:f>IF(E208="Concluído","Concluído",IF(A208&lt;TODAY(),"Atrasado",IF(A208=TODAY(),"Hoje","Futuro")))</x:f>
        <x:v>Futuro</x:v>
      </x:c>
      <x:c r="J208" s="43" t="n">
        <x:f>IF(OR(E208="Concluído",A208&gt;=TODAY()),0,TODAY()-A208)</x:f>
        <x:v>0</x:v>
      </x:c>
      <x:c r="K208" s="40" t="str"/>
    </x:row>
    <x:row r="209">
      <x:c r="A209" s="34" t="n">
        <x:v>46269</x:v>
      </x:c>
      <x:c r="B209" s="40" t="str">
        <x:v>Gestão e Governança de Tecnologia da Informação</x:v>
      </x:c>
      <x:c r="C209" s="40" t="str">
        <x:v>12 - Lei 13.303/2016 - Procedimento Auxiliares</x:v>
      </x:c>
      <x:c r="D209" s="40" t="str">
        <x:v>Videoaula</x:v>
      </x:c>
      <x:c r="E209" s="40" t="str">
        <x:v>Não iniciado</x:v>
      </x:c>
      <x:c r="F209" s="41" t="str"/>
      <x:c r="G209" s="42" t="str"/>
      <x:c r="H209" s="40" t="str">
        <x:v>Normal</x:v>
      </x:c>
      <x:c r="I209" s="40" t="str">
        <x:f>IF(E209="Concluído","Concluído",IF(A209&lt;TODAY(),"Atrasado",IF(A209=TODAY(),"Hoje","Futuro")))</x:f>
        <x:v>Futuro</x:v>
      </x:c>
      <x:c r="J209" s="43" t="n">
        <x:f>IF(OR(E209="Concluído",A209&gt;=TODAY()),0,TODAY()-A209)</x:f>
        <x:v>0</x:v>
      </x:c>
      <x:c r="K209" s="40" t="str"/>
    </x:row>
    <x:row r="210">
      <x:c r="A210" s="34" t="n">
        <x:v>46269</x:v>
      </x:c>
      <x:c r="B210" s="40" t="str">
        <x:v>Gestão e Governança de Tecnologia da Informação</x:v>
      </x:c>
      <x:c r="C210" s="40" t="str">
        <x:v>13 - Lei 13.303/2016 - Dos Contratos</x:v>
      </x:c>
      <x:c r="D210" s="40" t="str">
        <x:v>Videoaula</x:v>
      </x:c>
      <x:c r="E210" s="40" t="str">
        <x:v>Não iniciado</x:v>
      </x:c>
      <x:c r="F210" s="41" t="str"/>
      <x:c r="G210" s="42" t="str"/>
      <x:c r="H210" s="40" t="str">
        <x:v>Normal</x:v>
      </x:c>
      <x:c r="I210" s="40" t="str">
        <x:f>IF(E210="Concluído","Concluído",IF(A210&lt;TODAY(),"Atrasado",IF(A210=TODAY(),"Hoje","Futuro")))</x:f>
        <x:v>Futuro</x:v>
      </x:c>
      <x:c r="J210" s="43" t="n">
        <x:f>IF(OR(E210="Concluído",A210&gt;=TODAY()),0,TODAY()-A210)</x:f>
        <x:v>0</x:v>
      </x:c>
      <x:c r="K210" s="40" t="str"/>
    </x:row>
    <x:row r="211">
      <x:c r="A211" s="34" t="n">
        <x:v>46269</x:v>
      </x:c>
      <x:c r="B211" s="40" t="str">
        <x:v>Banco de Dados</x:v>
      </x:c>
      <x:c r="C211" s="40" t="str">
        <x:v>12 - Sistema de Banco de Dados Avançado - Índice</x:v>
      </x:c>
      <x:c r="D211" s="40" t="str">
        <x:v>Videoaula</x:v>
      </x:c>
      <x:c r="E211" s="40" t="str">
        <x:v>Não iniciado</x:v>
      </x:c>
      <x:c r="F211" s="41" t="str"/>
      <x:c r="G211" s="42" t="str"/>
      <x:c r="H211" s="40" t="str">
        <x:v>Normal</x:v>
      </x:c>
      <x:c r="I211" s="40" t="str">
        <x:f>IF(E211="Concluído","Concluído",IF(A211&lt;TODAY(),"Atrasado",IF(A211=TODAY(),"Hoje","Futuro")))</x:f>
        <x:v>Futuro</x:v>
      </x:c>
      <x:c r="J211" s="43" t="n">
        <x:f>IF(OR(E211="Concluído",A211&gt;=TODAY()),0,TODAY()-A211)</x:f>
        <x:v>0</x:v>
      </x:c>
      <x:c r="K211" s="40" t="str"/>
    </x:row>
    <x:row r="212">
      <x:c r="A212" s="34" t="n">
        <x:v>46269</x:v>
      </x:c>
      <x:c r="B212" s="40" t="str">
        <x:v>Banco de Dados</x:v>
      </x:c>
      <x:c r="C212" s="40" t="str">
        <x:v>13 - Sistema de Banco de Dados Avançado - NoSQL</x:v>
      </x:c>
      <x:c r="D212" s="40" t="str">
        <x:v>Videoaula</x:v>
      </x:c>
      <x:c r="E212" s="40" t="str">
        <x:v>Não iniciado</x:v>
      </x:c>
      <x:c r="F212" s="41" t="str"/>
      <x:c r="G212" s="42" t="str"/>
      <x:c r="H212" s="40" t="str">
        <x:v>Normal</x:v>
      </x:c>
      <x:c r="I212" s="40" t="str">
        <x:f>IF(E212="Concluído","Concluído",IF(A212&lt;TODAY(),"Atrasado",IF(A212=TODAY(),"Hoje","Futuro")))</x:f>
        <x:v>Futuro</x:v>
      </x:c>
      <x:c r="J212" s="43" t="n">
        <x:f>IF(OR(E212="Concluído",A212&gt;=TODAY()),0,TODAY()-A212)</x:f>
        <x:v>0</x:v>
      </x:c>
      <x:c r="K212" s="40" t="str"/>
    </x:row>
    <x:row r="213">
      <x:c r="A213" s="34" t="n">
        <x:v>46270</x:v>
      </x:c>
      <x:c r="B213" s="40" t="str">
        <x:v>Banco de Dados</x:v>
      </x:c>
      <x:c r="C213" s="40" t="str">
        <x:v>13 - Sistema de Banco de Dados Avançado - NoSQL</x:v>
      </x:c>
      <x:c r="D213" s="40" t="str">
        <x:v>Videoaula</x:v>
      </x:c>
      <x:c r="E213" s="40" t="str">
        <x:v>Não iniciado</x:v>
      </x:c>
      <x:c r="F213" s="41" t="str"/>
      <x:c r="G213" s="42" t="str"/>
      <x:c r="H213" s="40" t="str">
        <x:v>Normal</x:v>
      </x:c>
      <x:c r="I213" s="40" t="str">
        <x:f>IF(E213="Concluído","Concluído",IF(A213&lt;TODAY(),"Atrasado",IF(A213=TODAY(),"Hoje","Futuro")))</x:f>
        <x:v>Futuro</x:v>
      </x:c>
      <x:c r="J213" s="43" t="n">
        <x:f>IF(OR(E213="Concluído",A213&gt;=TODAY()),0,TODAY()-A213)</x:f>
        <x:v>0</x:v>
      </x:c>
      <x:c r="K213" s="40" t="str"/>
    </x:row>
    <x:row r="214">
      <x:c r="A214" s="34" t="n">
        <x:v>46270</x:v>
      </x:c>
      <x:c r="B214" s="40" t="str">
        <x:v>Língua Portuguesa</x:v>
      </x:c>
      <x:c r="C214" s="40" t="str">
        <x:v>7 - Semântica</x:v>
      </x:c>
      <x:c r="D214" s="40" t="str">
        <x:v>Pdf</x:v>
      </x:c>
      <x:c r="E214" s="40" t="str">
        <x:v>Não iniciado</x:v>
      </x:c>
      <x:c r="F214" s="41" t="str"/>
      <x:c r="G214" s="42" t="str"/>
      <x:c r="H214" s="40" t="str">
        <x:v>Normal</x:v>
      </x:c>
      <x:c r="I214" s="40" t="str">
        <x:f>IF(E214="Concluído","Concluído",IF(A214&lt;TODAY(),"Atrasado",IF(A214=TODAY(),"Hoje","Futuro")))</x:f>
        <x:v>Futuro</x:v>
      </x:c>
      <x:c r="J214" s="43" t="n">
        <x:f>IF(OR(E214="Concluído",A214&gt;=TODAY()),0,TODAY()-A214)</x:f>
        <x:v>0</x:v>
      </x:c>
      <x:c r="K214" s="40" t="str"/>
    </x:row>
    <x:row r="215">
      <x:c r="A215" s="34" t="n">
        <x:v>46270</x:v>
      </x:c>
      <x:c r="B215" s="40" t="str">
        <x:v>Língua Inglesa</x:v>
      </x:c>
      <x:c r="C215" s="40" t="str">
        <x:v>7 - Leitura e Interpretação de Texto</x:v>
      </x:c>
      <x:c r="D215" s="40" t="str">
        <x:v>Pdf</x:v>
      </x:c>
      <x:c r="E215" s="40" t="str">
        <x:v>Não iniciado</x:v>
      </x:c>
      <x:c r="F215" s="41" t="str"/>
      <x:c r="G215" s="42" t="str"/>
      <x:c r="H215" s="40" t="str">
        <x:v>Normal</x:v>
      </x:c>
      <x:c r="I215" s="40" t="str">
        <x:f>IF(E215="Concluído","Concluído",IF(A215&lt;TODAY(),"Atrasado",IF(A215=TODAY(),"Hoje","Futuro")))</x:f>
        <x:v>Futuro</x:v>
      </x:c>
      <x:c r="J215" s="43" t="n">
        <x:f>IF(OR(E215="Concluído",A215&gt;=TODAY()),0,TODAY()-A215)</x:f>
        <x:v>0</x:v>
      </x:c>
      <x:c r="K215" s="40" t="str"/>
    </x:row>
    <x:row r="216">
      <x:c r="A216" s="34" t="n">
        <x:v>46271</x:v>
      </x:c>
      <x:c r="B216" s="40" t="str">
        <x:v>Língua Inglesa</x:v>
      </x:c>
      <x:c r="C216" s="40" t="str">
        <x:v>7 - Leitura e Interpretação de Texto</x:v>
      </x:c>
      <x:c r="D216" s="40" t="str">
        <x:v>Pdf</x:v>
      </x:c>
      <x:c r="E216" s="40" t="str">
        <x:v>Não iniciado</x:v>
      </x:c>
      <x:c r="F216" s="41" t="str"/>
      <x:c r="G216" s="42" t="str"/>
      <x:c r="H216" s="40" t="str">
        <x:v>Normal</x:v>
      </x:c>
      <x:c r="I216" s="40" t="str">
        <x:f>IF(E216="Concluído","Concluído",IF(A216&lt;TODAY(),"Atrasado",IF(A216=TODAY(),"Hoje","Futuro")))</x:f>
        <x:v>Futuro</x:v>
      </x:c>
      <x:c r="J216" s="43" t="n">
        <x:f>IF(OR(E216="Concluído",A216&gt;=TODAY()),0,TODAY()-A216)</x:f>
        <x:v>0</x:v>
      </x:c>
      <x:c r="K216" s="40" t="str"/>
    </x:row>
    <x:row r="217">
      <x:c r="A217" s="34" t="n">
        <x:v>46271</x:v>
      </x:c>
      <x:c r="B217" s="40" t="str">
        <x:v>Revisão</x:v>
      </x:c>
      <x:c r="C217" s="40" t="str">
        <x:v>Revisão</x:v>
      </x:c>
      <x:c r="D217" s="40" t="str">
        <x:v>Revisao</x:v>
      </x:c>
      <x:c r="E217" s="40" t="str">
        <x:v>Não iniciado</x:v>
      </x:c>
      <x:c r="F217" s="41" t="str"/>
      <x:c r="G217" s="42" t="str"/>
      <x:c r="H217" s="40" t="str">
        <x:v>Normal</x:v>
      </x:c>
      <x:c r="I217" s="40" t="str">
        <x:f>IF(E217="Concluído","Concluído",IF(A217&lt;TODAY(),"Atrasado",IF(A217=TODAY(),"Hoje","Futuro")))</x:f>
        <x:v>Futuro</x:v>
      </x:c>
      <x:c r="J217" s="43" t="n">
        <x:f>IF(OR(E217="Concluído",A217&gt;=TODAY()),0,TODAY()-A217)</x:f>
        <x:v>0</x:v>
      </x:c>
      <x:c r="K217" s="40" t="str"/>
    </x:row>
    <x:row r="218">
      <x:c r="A218" s="34" t="n">
        <x:v>46272</x:v>
      </x:c>
      <x:c r="B218" s="40" t="str">
        <x:v>Língua Inglesa</x:v>
      </x:c>
      <x:c r="C218" s="40" t="str">
        <x:v>7 - Leitura e Interpretação de Texto</x:v>
      </x:c>
      <x:c r="D218" s="40" t="str">
        <x:v>Pdf</x:v>
      </x:c>
      <x:c r="E218" s="40" t="str">
        <x:v>Não iniciado</x:v>
      </x:c>
      <x:c r="F218" s="41" t="str"/>
      <x:c r="G218" s="42" t="str"/>
      <x:c r="H218" s="40" t="str">
        <x:v>Normal</x:v>
      </x:c>
      <x:c r="I218" s="40" t="str">
        <x:f>IF(E218="Concluído","Concluído",IF(A218&lt;TODAY(),"Atrasado",IF(A218=TODAY(),"Hoje","Futuro")))</x:f>
        <x:v>Futuro</x:v>
      </x:c>
      <x:c r="J218" s="43" t="n">
        <x:f>IF(OR(E218="Concluído",A218&gt;=TODAY()),0,TODAY()-A218)</x:f>
        <x:v>0</x:v>
      </x:c>
      <x:c r="K218" s="40" t="str"/>
    </x:row>
    <x:row r="219">
      <x:c r="A219" s="34" t="n">
        <x:v>46272</x:v>
      </x:c>
      <x:c r="B219" s="40" t="str">
        <x:v>Raciocínio Lógico</x:v>
      </x:c>
      <x:c r="C219" s="40" t="str">
        <x:v>7 - Inferência Lógica e Lógica de Argumentação</x:v>
      </x:c>
      <x:c r="D219" s="40" t="str">
        <x:v>Pdf</x:v>
      </x:c>
      <x:c r="E219" s="40" t="str">
        <x:v>Não iniciado</x:v>
      </x:c>
      <x:c r="F219" s="41" t="str"/>
      <x:c r="G219" s="42" t="str"/>
      <x:c r="H219" s="40" t="str">
        <x:v>Normal</x:v>
      </x:c>
      <x:c r="I219" s="40" t="str">
        <x:f>IF(E219="Concluído","Concluído",IF(A219&lt;TODAY(),"Atrasado",IF(A219=TODAY(),"Hoje","Futuro")))</x:f>
        <x:v>Futuro</x:v>
      </x:c>
      <x:c r="J219" s="43" t="n">
        <x:f>IF(OR(E219="Concluído",A219&gt;=TODAY()),0,TODAY()-A219)</x:f>
        <x:v>0</x:v>
      </x:c>
      <x:c r="K219" s="40" t="str"/>
    </x:row>
    <x:row r="220">
      <x:c r="A220" s="34" t="n">
        <x:v>46272</x:v>
      </x:c>
      <x:c r="B220" s="40" t="str">
        <x:v>Legislação Acerca de Segurança da Informação e Proteção de Dados</x:v>
      </x:c>
      <x:c r="C220" s="40" t="str">
        <x:v>3 - Decreto n. 7.845/2012 - Credenciamento de Segurança e Tratamento de Informação Classificada em Qualquer Grau de Sigilo</x:v>
      </x:c>
      <x:c r="D220" s="40" t="str">
        <x:v>Pdf</x:v>
      </x:c>
      <x:c r="E220" s="40" t="str">
        <x:v>Não iniciado</x:v>
      </x:c>
      <x:c r="F220" s="41" t="str"/>
      <x:c r="G220" s="42" t="str"/>
      <x:c r="H220" s="40" t="str">
        <x:v>Normal</x:v>
      </x:c>
      <x:c r="I220" s="40" t="str">
        <x:f>IF(E220="Concluído","Concluído",IF(A220&lt;TODAY(),"Atrasado",IF(A220=TODAY(),"Hoje","Futuro")))</x:f>
        <x:v>Futuro</x:v>
      </x:c>
      <x:c r="J220" s="43" t="n">
        <x:f>IF(OR(E220="Concluído",A220&gt;=TODAY()),0,TODAY()-A220)</x:f>
        <x:v>0</x:v>
      </x:c>
      <x:c r="K220" s="40" t="str"/>
    </x:row>
    <x:row r="221">
      <x:c r="A221" s="34" t="n">
        <x:v>46272</x:v>
      </x:c>
      <x:c r="B221" s="40" t="str">
        <x:v>Inteligência Emocional</x:v>
      </x:c>
      <x:c r="C221" s="40" t="str">
        <x:v>7 - ELO 7: Pensamentos Negativos</x:v>
      </x:c>
      <x:c r="D221" s="40" t="str">
        <x:v>Pdf</x:v>
      </x:c>
      <x:c r="E221" s="40" t="str">
        <x:v>Não iniciado</x:v>
      </x:c>
      <x:c r="F221" s="41" t="str"/>
      <x:c r="G221" s="42" t="str"/>
      <x:c r="H221" s="40" t="str">
        <x:v>Normal</x:v>
      </x:c>
      <x:c r="I221" s="40" t="str">
        <x:f>IF(E221="Concluído","Concluído",IF(A221&lt;TODAY(),"Atrasado",IF(A221=TODAY(),"Hoje","Futuro")))</x:f>
        <x:v>Futuro</x:v>
      </x:c>
      <x:c r="J221" s="43" t="n">
        <x:f>IF(OR(E221="Concluído",A221&gt;=TODAY()),0,TODAY()-A221)</x:f>
        <x:v>0</x:v>
      </x:c>
      <x:c r="K221" s="40" t="str"/>
    </x:row>
    <x:row r="222">
      <x:c r="A222" s="34" t="n">
        <x:v>46272</x:v>
      </x:c>
      <x:c r="B222" s="40" t="str">
        <x:v>Língua Portuguesa</x:v>
      </x:c>
      <x:c r="C222" s="40" t="str">
        <x:v>14 - Tipos Textuais</x:v>
      </x:c>
      <x:c r="D222" s="40" t="str">
        <x:v>Videoaula</x:v>
      </x:c>
      <x:c r="E222" s="40" t="str">
        <x:v>Não iniciado</x:v>
      </x:c>
      <x:c r="F222" s="41" t="str"/>
      <x:c r="G222" s="42" t="str"/>
      <x:c r="H222" s="40" t="str">
        <x:v>Normal</x:v>
      </x:c>
      <x:c r="I222" s="40" t="str">
        <x:f>IF(E222="Concluído","Concluído",IF(A222&lt;TODAY(),"Atrasado",IF(A222=TODAY(),"Hoje","Futuro")))</x:f>
        <x:v>Futuro</x:v>
      </x:c>
      <x:c r="J222" s="43" t="n">
        <x:f>IF(OR(E222="Concluído",A222&gt;=TODAY()),0,TODAY()-A222)</x:f>
        <x:v>0</x:v>
      </x:c>
      <x:c r="K222" s="40" t="str"/>
    </x:row>
    <x:row r="223">
      <x:c r="A223" s="34" t="n">
        <x:v>46273</x:v>
      </x:c>
      <x:c r="B223" s="40" t="str">
        <x:v>Língua Portuguesa</x:v>
      </x:c>
      <x:c r="C223" s="40" t="str">
        <x:v>14 - Tipos Textuais</x:v>
      </x:c>
      <x:c r="D223" s="40" t="str">
        <x:v>Videoaula</x:v>
      </x:c>
      <x:c r="E223" s="40" t="str">
        <x:v>Não iniciado</x:v>
      </x:c>
      <x:c r="F223" s="41" t="str"/>
      <x:c r="G223" s="42" t="str"/>
      <x:c r="H223" s="40" t="str">
        <x:v>Normal</x:v>
      </x:c>
      <x:c r="I223" s="40" t="str">
        <x:f>IF(E223="Concluído","Concluído",IF(A223&lt;TODAY(),"Atrasado",IF(A223=TODAY(),"Hoje","Futuro")))</x:f>
        <x:v>Futuro</x:v>
      </x:c>
      <x:c r="J223" s="43" t="n">
        <x:f>IF(OR(E223="Concluído",A223&gt;=TODAY()),0,TODAY()-A223)</x:f>
        <x:v>0</x:v>
      </x:c>
      <x:c r="K223" s="40" t="str"/>
    </x:row>
    <x:row r="224">
      <x:c r="A224" s="34" t="n">
        <x:v>46273</x:v>
      </x:c>
      <x:c r="B224" s="40" t="str">
        <x:v>Língua Portuguesa</x:v>
      </x:c>
      <x:c r="C224" s="40" t="str">
        <x:v>15 - Modos de Organização Discursiva/Tipos Textuais: Exercícios</x:v>
      </x:c>
      <x:c r="D224" s="40" t="str">
        <x:v>Videoaula</x:v>
      </x:c>
      <x:c r="E224" s="40" t="str">
        <x:v>Não iniciado</x:v>
      </x:c>
      <x:c r="F224" s="41" t="str"/>
      <x:c r="G224" s="42" t="str"/>
      <x:c r="H224" s="40" t="str">
        <x:v>Normal</x:v>
      </x:c>
      <x:c r="I224" s="40" t="str">
        <x:f>IF(E224="Concluído","Concluído",IF(A224&lt;TODAY(),"Atrasado",IF(A224=TODAY(),"Hoje","Futuro")))</x:f>
        <x:v>Futuro</x:v>
      </x:c>
      <x:c r="J224" s="43" t="n">
        <x:f>IF(OR(E224="Concluído",A224&gt;=TODAY()),0,TODAY()-A224)</x:f>
        <x:v>0</x:v>
      </x:c>
      <x:c r="K224" s="40" t="str"/>
    </x:row>
    <x:row r="225">
      <x:c r="A225" s="34" t="n">
        <x:v>46273</x:v>
      </x:c>
      <x:c r="B225" s="40" t="str">
        <x:v>Língua Inglesa</x:v>
      </x:c>
      <x:c r="C225" s="40" t="str">
        <x:v>14 - Língua Inglesa - Mars Is The Fourth Planet From The Sun</x:v>
      </x:c>
      <x:c r="D225" s="40" t="str">
        <x:v>Videoaula</x:v>
      </x:c>
      <x:c r="E225" s="40" t="str">
        <x:v>Não iniciado</x:v>
      </x:c>
      <x:c r="F225" s="41" t="str"/>
      <x:c r="G225" s="42" t="str"/>
      <x:c r="H225" s="40" t="str">
        <x:v>Normal</x:v>
      </x:c>
      <x:c r="I225" s="40" t="str">
        <x:f>IF(E225="Concluído","Concluído",IF(A225&lt;TODAY(),"Atrasado",IF(A225=TODAY(),"Hoje","Futuro")))</x:f>
        <x:v>Futuro</x:v>
      </x:c>
      <x:c r="J225" s="43" t="n">
        <x:f>IF(OR(E225="Concluído",A225&gt;=TODAY()),0,TODAY()-A225)</x:f>
        <x:v>0</x:v>
      </x:c>
      <x:c r="K225" s="40" t="str"/>
    </x:row>
    <x:row r="226">
      <x:c r="A226" s="34" t="n">
        <x:v>46273</x:v>
      </x:c>
      <x:c r="B226" s="40" t="str">
        <x:v>Língua Inglesa</x:v>
      </x:c>
      <x:c r="C226" s="40" t="str">
        <x:v>15 - Língua Inglesa - Can You do Me a Favor?</x:v>
      </x:c>
      <x:c r="D226" s="40" t="str">
        <x:v>Videoaula</x:v>
      </x:c>
      <x:c r="E226" s="40" t="str">
        <x:v>Não iniciado</x:v>
      </x:c>
      <x:c r="F226" s="41" t="str"/>
      <x:c r="G226" s="42" t="str"/>
      <x:c r="H226" s="40" t="str">
        <x:v>Normal</x:v>
      </x:c>
      <x:c r="I226" s="40" t="str">
        <x:f>IF(E226="Concluído","Concluído",IF(A226&lt;TODAY(),"Atrasado",IF(A226=TODAY(),"Hoje","Futuro")))</x:f>
        <x:v>Futuro</x:v>
      </x:c>
      <x:c r="J226" s="43" t="n">
        <x:f>IF(OR(E226="Concluído",A226&gt;=TODAY()),0,TODAY()-A226)</x:f>
        <x:v>0</x:v>
      </x:c>
      <x:c r="K226" s="40" t="str"/>
    </x:row>
    <x:row r="227">
      <x:c r="A227" s="34" t="n">
        <x:v>46274</x:v>
      </x:c>
      <x:c r="B227" s="40" t="str">
        <x:v>Língua Inglesa</x:v>
      </x:c>
      <x:c r="C227" s="40" t="str">
        <x:v>15 - Língua Inglesa - Can You do Me a Favor?</x:v>
      </x:c>
      <x:c r="D227" s="40" t="str">
        <x:v>Videoaula</x:v>
      </x:c>
      <x:c r="E227" s="40" t="str">
        <x:v>Não iniciado</x:v>
      </x:c>
      <x:c r="F227" s="41" t="str"/>
      <x:c r="G227" s="42" t="str"/>
      <x:c r="H227" s="40" t="str">
        <x:v>Normal</x:v>
      </x:c>
      <x:c r="I227" s="40" t="str">
        <x:f>IF(E227="Concluído","Concluído",IF(A227&lt;TODAY(),"Atrasado",IF(A227=TODAY(),"Hoje","Futuro")))</x:f>
        <x:v>Futuro</x:v>
      </x:c>
      <x:c r="J227" s="43" t="n">
        <x:f>IF(OR(E227="Concluído",A227&gt;=TODAY()),0,TODAY()-A227)</x:f>
        <x:v>0</x:v>
      </x:c>
      <x:c r="K227" s="40" t="str"/>
    </x:row>
    <x:row r="228">
      <x:c r="A228" s="34" t="n">
        <x:v>46274</x:v>
      </x:c>
      <x:c r="B228" s="40" t="str">
        <x:v>Raciocínio Lógico</x:v>
      </x:c>
      <x:c r="C228" s="40" t="str">
        <x:v>14 - Sequência de Datas - Calendário</x:v>
      </x:c>
      <x:c r="D228" s="40" t="str">
        <x:v>Videoaula</x:v>
      </x:c>
      <x:c r="E228" s="40" t="str">
        <x:v>Não iniciado</x:v>
      </x:c>
      <x:c r="F228" s="41" t="str"/>
      <x:c r="G228" s="42" t="str"/>
      <x:c r="H228" s="40" t="str">
        <x:v>Normal</x:v>
      </x:c>
      <x:c r="I228" s="40" t="str">
        <x:f>IF(E228="Concluído","Concluído",IF(A228&lt;TODAY(),"Atrasado",IF(A228=TODAY(),"Hoje","Futuro")))</x:f>
        <x:v>Futuro</x:v>
      </x:c>
      <x:c r="J228" s="43" t="n">
        <x:f>IF(OR(E228="Concluído",A228&gt;=TODAY()),0,TODAY()-A228)</x:f>
        <x:v>0</x:v>
      </x:c>
      <x:c r="K228" s="40" t="str"/>
    </x:row>
    <x:row r="229">
      <x:c r="A229" s="34" t="n">
        <x:v>46274</x:v>
      </x:c>
      <x:c r="B229" s="40" t="str">
        <x:v>Raciocínio Lógico</x:v>
      </x:c>
      <x:c r="C229" s="40" t="str">
        <x:v>15 - Sequência Posicional</x:v>
      </x:c>
      <x:c r="D229" s="40" t="str">
        <x:v>Videoaula</x:v>
      </x:c>
      <x:c r="E229" s="40" t="str">
        <x:v>Não iniciado</x:v>
      </x:c>
      <x:c r="F229" s="41" t="str"/>
      <x:c r="G229" s="42" t="str"/>
      <x:c r="H229" s="40" t="str">
        <x:v>Normal</x:v>
      </x:c>
      <x:c r="I229" s="40" t="str">
        <x:f>IF(E229="Concluído","Concluído",IF(A229&lt;TODAY(),"Atrasado",IF(A229=TODAY(),"Hoje","Futuro")))</x:f>
        <x:v>Futuro</x:v>
      </x:c>
      <x:c r="J229" s="43" t="n">
        <x:f>IF(OR(E229="Concluído",A229&gt;=TODAY()),0,TODAY()-A229)</x:f>
        <x:v>0</x:v>
      </x:c>
      <x:c r="K229" s="40" t="str"/>
    </x:row>
    <x:row r="230">
      <x:c r="A230" s="34" t="n">
        <x:v>46274</x:v>
      </x:c>
      <x:c r="B230" s="40" t="str">
        <x:v>Atualidades e Inteligência Artificial</x:v>
      </x:c>
      <x:c r="C230" s="40" t="str">
        <x:v>14 - Desenvolvimento Sustentável e Meio Ambiente IV</x:v>
      </x:c>
      <x:c r="D230" s="40" t="str">
        <x:v>Videoaula</x:v>
      </x:c>
      <x:c r="E230" s="40" t="str">
        <x:v>Não iniciado</x:v>
      </x:c>
      <x:c r="F230" s="41" t="str"/>
      <x:c r="G230" s="42" t="str"/>
      <x:c r="H230" s="40" t="str">
        <x:v>Normal</x:v>
      </x:c>
      <x:c r="I230" s="40" t="str">
        <x:f>IF(E230="Concluído","Concluído",IF(A230&lt;TODAY(),"Atrasado",IF(A230=TODAY(),"Hoje","Futuro")))</x:f>
        <x:v>Futuro</x:v>
      </x:c>
      <x:c r="J230" s="43" t="n">
        <x:f>IF(OR(E230="Concluído",A230&gt;=TODAY()),0,TODAY()-A230)</x:f>
        <x:v>0</x:v>
      </x:c>
      <x:c r="K230" s="40" t="str"/>
    </x:row>
    <x:row r="231">
      <x:c r="A231" s="34" t="n">
        <x:v>46274</x:v>
      </x:c>
      <x:c r="B231" s="40" t="str">
        <x:v>Atualidades e Inteligência Artificial</x:v>
      </x:c>
      <x:c r="C231" s="40" t="str">
        <x:v>15 - Inovações Tecnológicas e Científicas</x:v>
      </x:c>
      <x:c r="D231" s="40" t="str">
        <x:v>Videoaula</x:v>
      </x:c>
      <x:c r="E231" s="40" t="str">
        <x:v>Não iniciado</x:v>
      </x:c>
      <x:c r="F231" s="41" t="str"/>
      <x:c r="G231" s="42" t="str"/>
      <x:c r="H231" s="40" t="str">
        <x:v>Normal</x:v>
      </x:c>
      <x:c r="I231" s="40" t="str">
        <x:f>IF(E231="Concluído","Concluído",IF(A231&lt;TODAY(),"Atrasado",IF(A231=TODAY(),"Hoje","Futuro")))</x:f>
        <x:v>Futuro</x:v>
      </x:c>
      <x:c r="J231" s="43" t="n">
        <x:f>IF(OR(E231="Concluído",A231&gt;=TODAY()),0,TODAY()-A231)</x:f>
        <x:v>0</x:v>
      </x:c>
      <x:c r="K231" s="40" t="str"/>
    </x:row>
    <x:row r="232">
      <x:c r="A232" s="34" t="n">
        <x:v>46275</x:v>
      </x:c>
      <x:c r="B232" s="40" t="str">
        <x:v>Atualidades e Inteligência Artificial</x:v>
      </x:c>
      <x:c r="C232" s="40" t="str">
        <x:v>15 - Inovações Tecnológicas e Científicas</x:v>
      </x:c>
      <x:c r="D232" s="40" t="str">
        <x:v>Videoaula</x:v>
      </x:c>
      <x:c r="E232" s="40" t="str">
        <x:v>Não iniciado</x:v>
      </x:c>
      <x:c r="F232" s="41" t="str"/>
      <x:c r="G232" s="42" t="str"/>
      <x:c r="H232" s="40" t="str">
        <x:v>Normal</x:v>
      </x:c>
      <x:c r="I232" s="40" t="str">
        <x:f>IF(E232="Concluído","Concluído",IF(A232&lt;TODAY(),"Atrasado",IF(A232=TODAY(),"Hoje","Futuro")))</x:f>
        <x:v>Futuro</x:v>
      </x:c>
      <x:c r="J232" s="43" t="n">
        <x:f>IF(OR(E232="Concluído",A232&gt;=TODAY()),0,TODAY()-A232)</x:f>
        <x:v>0</x:v>
      </x:c>
      <x:c r="K232" s="40" t="str"/>
    </x:row>
    <x:row r="233">
      <x:c r="A233" s="34" t="n">
        <x:v>46275</x:v>
      </x:c>
      <x:c r="B233" s="40" t="str">
        <x:v>Legislação Acerca de Segurança da Informação e Proteção de Dados</x:v>
      </x:c>
      <x:c r="C233" s="40" t="str">
        <x:v>8 - Decreto nº 7.845/2012 e suas alterações</x:v>
      </x:c>
      <x:c r="D233" s="40" t="str">
        <x:v>Videoaula</x:v>
      </x:c>
      <x:c r="E233" s="40" t="str">
        <x:v>Não iniciado</x:v>
      </x:c>
      <x:c r="F233" s="41" t="str"/>
      <x:c r="G233" s="42" t="str"/>
      <x:c r="H233" s="40" t="str">
        <x:v>Normal</x:v>
      </x:c>
      <x:c r="I233" s="40" t="str">
        <x:f>IF(E233="Concluído","Concluído",IF(A233&lt;TODAY(),"Atrasado",IF(A233=TODAY(),"Hoje","Futuro")))</x:f>
        <x:v>Futuro</x:v>
      </x:c>
      <x:c r="J233" s="43" t="n">
        <x:f>IF(OR(E233="Concluído",A233&gt;=TODAY()),0,TODAY()-A233)</x:f>
        <x:v>0</x:v>
      </x:c>
      <x:c r="K233" s="40" t="str"/>
    </x:row>
    <x:row r="234">
      <x:c r="A234" s="34" t="n">
        <x:v>46275</x:v>
      </x:c>
      <x:c r="B234" s="40" t="str">
        <x:v>Legislação Acerca de Segurança da Informação e Proteção de Dados</x:v>
      </x:c>
      <x:c r="C234" s="40" t="str">
        <x:v>9 - Decreto nº 7.845/2012 e suas alterações</x:v>
      </x:c>
      <x:c r="D234" s="40" t="str">
        <x:v>Videoaula</x:v>
      </x:c>
      <x:c r="E234" s="40" t="str">
        <x:v>Não iniciado</x:v>
      </x:c>
      <x:c r="F234" s="41" t="str"/>
      <x:c r="G234" s="42" t="str"/>
      <x:c r="H234" s="40" t="str">
        <x:v>Normal</x:v>
      </x:c>
      <x:c r="I234" s="40" t="str">
        <x:f>IF(E234="Concluído","Concluído",IF(A234&lt;TODAY(),"Atrasado",IF(A234=TODAY(),"Hoje","Futuro")))</x:f>
        <x:v>Futuro</x:v>
      </x:c>
      <x:c r="J234" s="43" t="n">
        <x:f>IF(OR(E234="Concluído",A234&gt;=TODAY()),0,TODAY()-A234)</x:f>
        <x:v>0</x:v>
      </x:c>
      <x:c r="K234" s="40" t="str"/>
    </x:row>
    <x:row r="235">
      <x:c r="A235" s="34" t="n">
        <x:v>46275</x:v>
      </x:c>
      <x:c r="B235" s="40" t="str">
        <x:v>Gestão e Governança de Tecnologia da Informação</x:v>
      </x:c>
      <x:c r="C235" s="40" t="str">
        <x:v>14 - Lei 13.303/2016 - Dos Contratos II</x:v>
      </x:c>
      <x:c r="D235" s="40" t="str">
        <x:v>Videoaula</x:v>
      </x:c>
      <x:c r="E235" s="40" t="str">
        <x:v>Não iniciado</x:v>
      </x:c>
      <x:c r="F235" s="41" t="str"/>
      <x:c r="G235" s="42" t="str"/>
      <x:c r="H235" s="40" t="str">
        <x:v>Normal</x:v>
      </x:c>
      <x:c r="I235" s="40" t="str">
        <x:f>IF(E235="Concluído","Concluído",IF(A235&lt;TODAY(),"Atrasado",IF(A235=TODAY(),"Hoje","Futuro")))</x:f>
        <x:v>Futuro</x:v>
      </x:c>
      <x:c r="J235" s="43" t="n">
        <x:f>IF(OR(E235="Concluído",A235&gt;=TODAY()),0,TODAY()-A235)</x:f>
        <x:v>0</x:v>
      </x:c>
      <x:c r="K235" s="40" t="str"/>
    </x:row>
    <x:row r="236">
      <x:c r="A236" s="34" t="n">
        <x:v>46275</x:v>
      </x:c>
      <x:c r="B236" s="40" t="str">
        <x:v>Gestão e Governança de Tecnologia da Informação</x:v>
      </x:c>
      <x:c r="C236" s="40" t="str">
        <x:v>15 - Lei 13.303/2016 - Dos Contratos - Exercícios</x:v>
      </x:c>
      <x:c r="D236" s="40" t="str">
        <x:v>Videoaula</x:v>
      </x:c>
      <x:c r="E236" s="40" t="str">
        <x:v>Não iniciado</x:v>
      </x:c>
      <x:c r="F236" s="41" t="str"/>
      <x:c r="G236" s="42" t="str"/>
      <x:c r="H236" s="40" t="str">
        <x:v>Normal</x:v>
      </x:c>
      <x:c r="I236" s="40" t="str">
        <x:f>IF(E236="Concluído","Concluído",IF(A236&lt;TODAY(),"Atrasado",IF(A236=TODAY(),"Hoje","Futuro")))</x:f>
        <x:v>Futuro</x:v>
      </x:c>
      <x:c r="J236" s="43" t="n">
        <x:f>IF(OR(E236="Concluído",A236&gt;=TODAY()),0,TODAY()-A236)</x:f>
        <x:v>0</x:v>
      </x:c>
      <x:c r="K236" s="40" t="str"/>
    </x:row>
    <x:row r="237">
      <x:c r="A237" s="34" t="n">
        <x:v>46276</x:v>
      </x:c>
      <x:c r="B237" s="40" t="str">
        <x:v>Gestão e Governança de Tecnologia da Informação</x:v>
      </x:c>
      <x:c r="C237" s="40" t="str">
        <x:v>15 - Lei 13.303/2016 - Dos Contratos - Exercícios</x:v>
      </x:c>
      <x:c r="D237" s="40" t="str">
        <x:v>Videoaula</x:v>
      </x:c>
      <x:c r="E237" s="40" t="str">
        <x:v>Não iniciado</x:v>
      </x:c>
      <x:c r="F237" s="41" t="str"/>
      <x:c r="G237" s="42" t="str"/>
      <x:c r="H237" s="40" t="str">
        <x:v>Normal</x:v>
      </x:c>
      <x:c r="I237" s="40" t="str">
        <x:f>IF(E237="Concluído","Concluído",IF(A237&lt;TODAY(),"Atrasado",IF(A237=TODAY(),"Hoje","Futuro")))</x:f>
        <x:v>Futuro</x:v>
      </x:c>
      <x:c r="J237" s="43" t="n">
        <x:f>IF(OR(E237="Concluído",A237&gt;=TODAY()),0,TODAY()-A237)</x:f>
        <x:v>0</x:v>
      </x:c>
      <x:c r="K237" s="40" t="str"/>
    </x:row>
    <x:row r="238">
      <x:c r="A238" s="34" t="n">
        <x:v>46276</x:v>
      </x:c>
      <x:c r="B238" s="40" t="str">
        <x:v>Banco de Dados</x:v>
      </x:c>
      <x:c r="C238" s="40" t="str">
        <x:v>14 - Sistema de Banco de Dados Avançado - Questões</x:v>
      </x:c>
      <x:c r="D238" s="40" t="str">
        <x:v>Videoaula</x:v>
      </x:c>
      <x:c r="E238" s="40" t="str">
        <x:v>Não iniciado</x:v>
      </x:c>
      <x:c r="F238" s="41" t="str"/>
      <x:c r="G238" s="42" t="str"/>
      <x:c r="H238" s="40" t="str">
        <x:v>Normal</x:v>
      </x:c>
      <x:c r="I238" s="40" t="str">
        <x:f>IF(E238="Concluído","Concluído",IF(A238&lt;TODAY(),"Atrasado",IF(A238=TODAY(),"Hoje","Futuro")))</x:f>
        <x:v>Futuro</x:v>
      </x:c>
      <x:c r="J238" s="43" t="n">
        <x:f>IF(OR(E238="Concluído",A238&gt;=TODAY()),0,TODAY()-A238)</x:f>
        <x:v>0</x:v>
      </x:c>
      <x:c r="K238" s="40" t="str"/>
    </x:row>
    <x:row r="239">
      <x:c r="A239" s="34" t="n">
        <x:v>46276</x:v>
      </x:c>
      <x:c r="B239" s="40" t="str">
        <x:v>Banco de Dados</x:v>
      </x:c>
      <x:c r="C239" s="40" t="str">
        <x:v>1 - Banco de Dados - Conceitos Iniciais</x:v>
      </x:c>
      <x:c r="D239" s="40" t="str">
        <x:v>Videoaula</x:v>
      </x:c>
      <x:c r="E239" s="40" t="str">
        <x:v>Não iniciado</x:v>
      </x:c>
      <x:c r="F239" s="41" t="str"/>
      <x:c r="G239" s="42" t="str"/>
      <x:c r="H239" s="40" t="str">
        <x:v>Normal</x:v>
      </x:c>
      <x:c r="I239" s="40" t="str">
        <x:f>IF(E239="Concluído","Concluído",IF(A239&lt;TODAY(),"Atrasado",IF(A239=TODAY(),"Hoje","Futuro")))</x:f>
        <x:v>Futuro</x:v>
      </x:c>
      <x:c r="J239" s="43" t="n">
        <x:f>IF(OR(E239="Concluído",A239&gt;=TODAY()),0,TODAY()-A239)</x:f>
        <x:v>0</x:v>
      </x:c>
      <x:c r="K239" s="40" t="str"/>
    </x:row>
    <x:row r="240">
      <x:c r="A240" s="34" t="n">
        <x:v>46276</x:v>
      </x:c>
      <x:c r="B240" s="40" t="str">
        <x:v>Língua Portuguesa</x:v>
      </x:c>
      <x:c r="C240" s="40" t="str">
        <x:v>8 - Figuras e Vícios de Linguagem</x:v>
      </x:c>
      <x:c r="D240" s="40" t="str">
        <x:v>Pdf</x:v>
      </x:c>
      <x:c r="E240" s="40" t="str">
        <x:v>Não iniciado</x:v>
      </x:c>
      <x:c r="F240" s="41" t="str"/>
      <x:c r="G240" s="42" t="str"/>
      <x:c r="H240" s="40" t="str">
        <x:v>Normal</x:v>
      </x:c>
      <x:c r="I240" s="40" t="str">
        <x:f>IF(E240="Concluído","Concluído",IF(A240&lt;TODAY(),"Atrasado",IF(A240=TODAY(),"Hoje","Futuro")))</x:f>
        <x:v>Futuro</x:v>
      </x:c>
      <x:c r="J240" s="43" t="n">
        <x:f>IF(OR(E240="Concluído",A240&gt;=TODAY()),0,TODAY()-A240)</x:f>
        <x:v>0</x:v>
      </x:c>
      <x:c r="K240" s="40" t="str"/>
    </x:row>
    <x:row r="241">
      <x:c r="A241" s="34" t="n">
        <x:v>46276</x:v>
      </x:c>
      <x:c r="B241" s="40" t="str">
        <x:v>Língua Inglesa</x:v>
      </x:c>
      <x:c r="C241" s="40" t="str">
        <x:v>8 - Leitura e Compreensão de Texto</x:v>
      </x:c>
      <x:c r="D241" s="40" t="str">
        <x:v>Pdf</x:v>
      </x:c>
      <x:c r="E241" s="40" t="str">
        <x:v>Não iniciado</x:v>
      </x:c>
      <x:c r="F241" s="41" t="str"/>
      <x:c r="G241" s="42" t="str"/>
      <x:c r="H241" s="40" t="str">
        <x:v>Normal</x:v>
      </x:c>
      <x:c r="I241" s="40" t="str">
        <x:f>IF(E241="Concluído","Concluído",IF(A241&lt;TODAY(),"Atrasado",IF(A241=TODAY(),"Hoje","Futuro")))</x:f>
        <x:v>Futuro</x:v>
      </x:c>
      <x:c r="J241" s="43" t="n">
        <x:f>IF(OR(E241="Concluído",A241&gt;=TODAY()),0,TODAY()-A241)</x:f>
        <x:v>0</x:v>
      </x:c>
      <x:c r="K241" s="40" t="str"/>
    </x:row>
    <x:row r="242">
      <x:c r="A242" s="34" t="n">
        <x:v>46277</x:v>
      </x:c>
      <x:c r="B242" s="40" t="str">
        <x:v>Língua Inglesa</x:v>
      </x:c>
      <x:c r="C242" s="40" t="str">
        <x:v>8 - Leitura e Compreensão de Texto</x:v>
      </x:c>
      <x:c r="D242" s="40" t="str">
        <x:v>Pdf</x:v>
      </x:c>
      <x:c r="E242" s="40" t="str">
        <x:v>Não iniciado</x:v>
      </x:c>
      <x:c r="F242" s="41" t="str"/>
      <x:c r="G242" s="42" t="str"/>
      <x:c r="H242" s="40" t="str">
        <x:v>Normal</x:v>
      </x:c>
      <x:c r="I242" s="40" t="str">
        <x:f>IF(E242="Concluído","Concluído",IF(A242&lt;TODAY(),"Atrasado",IF(A242=TODAY(),"Hoje","Futuro")))</x:f>
        <x:v>Futuro</x:v>
      </x:c>
      <x:c r="J242" s="43" t="n">
        <x:f>IF(OR(E242="Concluído",A242&gt;=TODAY()),0,TODAY()-A242)</x:f>
        <x:v>0</x:v>
      </x:c>
      <x:c r="K242" s="40" t="str"/>
    </x:row>
    <x:row r="243">
      <x:c r="A243" s="34" t="n">
        <x:v>46277</x:v>
      </x:c>
      <x:c r="B243" s="40" t="str">
        <x:v>Raciocínio Lógico</x:v>
      </x:c>
      <x:c r="C243" s="40" t="str">
        <x:v>8 - Raciocínio Lógico Envolvendo Problemas Aritméticos, Geométricos e Matriciais</x:v>
      </x:c>
      <x:c r="D243" s="40" t="str">
        <x:v>Pdf</x:v>
      </x:c>
      <x:c r="E243" s="40" t="str">
        <x:v>Não iniciado</x:v>
      </x:c>
      <x:c r="F243" s="41" t="str"/>
      <x:c r="G243" s="42" t="str"/>
      <x:c r="H243" s="40" t="str">
        <x:v>Normal</x:v>
      </x:c>
      <x:c r="I243" s="40" t="str">
        <x:f>IF(E243="Concluído","Concluído",IF(A243&lt;TODAY(),"Atrasado",IF(A243=TODAY(),"Hoje","Futuro")))</x:f>
        <x:v>Futuro</x:v>
      </x:c>
      <x:c r="J243" s="43" t="n">
        <x:f>IF(OR(E243="Concluído",A243&gt;=TODAY()),0,TODAY()-A243)</x:f>
        <x:v>0</x:v>
      </x:c>
      <x:c r="K243" s="40" t="str"/>
    </x:row>
    <x:row r="244">
      <x:c r="A244" s="34" t="n">
        <x:v>46277</x:v>
      </x:c>
      <x:c r="B244" s="40" t="str">
        <x:v>Legislação Acerca de Segurança da Informação e Proteção de Dados</x:v>
      </x:c>
      <x:c r="C244" s="40" t="str">
        <x:v>1 - Lei n. 13.709/2018 – Lei Geral de Proteção de Dados – Parte I</x:v>
      </x:c>
      <x:c r="D244" s="40" t="str">
        <x:v>Pdf</x:v>
      </x:c>
      <x:c r="E244" s="40" t="str">
        <x:v>Não iniciado</x:v>
      </x:c>
      <x:c r="F244" s="41" t="str"/>
      <x:c r="G244" s="42" t="str"/>
      <x:c r="H244" s="40" t="str">
        <x:v>Normal</x:v>
      </x:c>
      <x:c r="I244" s="40" t="str">
        <x:f>IF(E244="Concluído","Concluído",IF(A244&lt;TODAY(),"Atrasado",IF(A244=TODAY(),"Hoje","Futuro")))</x:f>
        <x:v>Futuro</x:v>
      </x:c>
      <x:c r="J244" s="43" t="n">
        <x:f>IF(OR(E244="Concluído",A244&gt;=TODAY()),0,TODAY()-A244)</x:f>
        <x:v>0</x:v>
      </x:c>
      <x:c r="K244" s="40" t="str"/>
    </x:row>
    <x:row r="245">
      <x:c r="A245" s="34" t="n">
        <x:v>46278</x:v>
      </x:c>
      <x:c r="B245" s="40" t="str">
        <x:v>Legislação Acerca de Segurança da Informação e Proteção de Dados</x:v>
      </x:c>
      <x:c r="C245" s="40" t="str">
        <x:v>1 - Lei n. 13.709/2018 – Lei Geral de Proteção de Dados – Parte I</x:v>
      </x:c>
      <x:c r="D245" s="40" t="str">
        <x:v>Pdf</x:v>
      </x:c>
      <x:c r="E245" s="40" t="str">
        <x:v>Não iniciado</x:v>
      </x:c>
      <x:c r="F245" s="41" t="str"/>
      <x:c r="G245" s="42" t="str"/>
      <x:c r="H245" s="40" t="str">
        <x:v>Normal</x:v>
      </x:c>
      <x:c r="I245" s="40" t="str">
        <x:f>IF(E245="Concluído","Concluído",IF(A245&lt;TODAY(),"Atrasado",IF(A245=TODAY(),"Hoje","Futuro")))</x:f>
        <x:v>Futuro</x:v>
      </x:c>
      <x:c r="J245" s="43" t="n">
        <x:f>IF(OR(E245="Concluído",A245&gt;=TODAY()),0,TODAY()-A245)</x:f>
        <x:v>0</x:v>
      </x:c>
      <x:c r="K245" s="40" t="str"/>
    </x:row>
    <x:row r="246">
      <x:c r="A246" s="34" t="n">
        <x:v>46278</x:v>
      </x:c>
      <x:c r="B246" s="40" t="str">
        <x:v>Inteligência Emocional</x:v>
      </x:c>
      <x:c r="C246" s="40" t="str">
        <x:v>8 - ELO 8: A Felicidade e o Concurseiro</x:v>
      </x:c>
      <x:c r="D246" s="40" t="str">
        <x:v>Pdf</x:v>
      </x:c>
      <x:c r="E246" s="40" t="str">
        <x:v>Não iniciado</x:v>
      </x:c>
      <x:c r="F246" s="41" t="str"/>
      <x:c r="G246" s="42" t="str"/>
      <x:c r="H246" s="40" t="str">
        <x:v>Normal</x:v>
      </x:c>
      <x:c r="I246" s="40" t="str">
        <x:f>IF(E246="Concluído","Concluído",IF(A246&lt;TODAY(),"Atrasado",IF(A246=TODAY(),"Hoje","Futuro")))</x:f>
        <x:v>Futuro</x:v>
      </x:c>
      <x:c r="J246" s="43" t="n">
        <x:f>IF(OR(E246="Concluído",A246&gt;=TODAY()),0,TODAY()-A246)</x:f>
        <x:v>0</x:v>
      </x:c>
      <x:c r="K246" s="40" t="str"/>
    </x:row>
    <x:row r="247">
      <x:c r="A247" s="34" t="n">
        <x:v>46278</x:v>
      </x:c>
      <x:c r="B247" s="40" t="str">
        <x:v>Língua Portuguesa</x:v>
      </x:c>
      <x:c r="C247" s="40" t="str">
        <x:v>16 - Tipos de Discurso</x:v>
      </x:c>
      <x:c r="D247" s="40" t="str">
        <x:v>Videoaula</x:v>
      </x:c>
      <x:c r="E247" s="40" t="str">
        <x:v>Não iniciado</x:v>
      </x:c>
      <x:c r="F247" s="41" t="str"/>
      <x:c r="G247" s="42" t="str"/>
      <x:c r="H247" s="40" t="str">
        <x:v>Normal</x:v>
      </x:c>
      <x:c r="I247" s="40" t="str">
        <x:f>IF(E247="Concluído","Concluído",IF(A247&lt;TODAY(),"Atrasado",IF(A247=TODAY(),"Hoje","Futuro")))</x:f>
        <x:v>Futuro</x:v>
      </x:c>
      <x:c r="J247" s="43" t="n">
        <x:f>IF(OR(E247="Concluído",A247&gt;=TODAY()),0,TODAY()-A247)</x:f>
        <x:v>0</x:v>
      </x:c>
      <x:c r="K247" s="40" t="str"/>
    </x:row>
    <x:row r="248">
      <x:c r="A248" s="34" t="n">
        <x:v>46278</x:v>
      </x:c>
      <x:c r="B248" s="40" t="str">
        <x:v>Revisão</x:v>
      </x:c>
      <x:c r="C248" s="40" t="str">
        <x:v>Revisão</x:v>
      </x:c>
      <x:c r="D248" s="40" t="str">
        <x:v>Revisao</x:v>
      </x:c>
      <x:c r="E248" s="40" t="str">
        <x:v>Não iniciado</x:v>
      </x:c>
      <x:c r="F248" s="41" t="str"/>
      <x:c r="G248" s="42" t="str"/>
      <x:c r="H248" s="40" t="str">
        <x:v>Normal</x:v>
      </x:c>
      <x:c r="I248" s="40" t="str">
        <x:f>IF(E248="Concluído","Concluído",IF(A248&lt;TODAY(),"Atrasado",IF(A248=TODAY(),"Hoje","Futuro")))</x:f>
        <x:v>Futuro</x:v>
      </x:c>
      <x:c r="J248" s="43" t="n">
        <x:f>IF(OR(E248="Concluído",A248&gt;=TODAY()),0,TODAY()-A248)</x:f>
        <x:v>0</x:v>
      </x:c>
      <x:c r="K248" s="40" t="str"/>
    </x:row>
    <x:row r="249">
      <x:c r="A249" s="34" t="n">
        <x:v>46279</x:v>
      </x:c>
      <x:c r="B249" s="40" t="str">
        <x:v>Língua Portuguesa</x:v>
      </x:c>
      <x:c r="C249" s="40" t="str">
        <x:v>16 - Tipos de Discurso</x:v>
      </x:c>
      <x:c r="D249" s="40" t="str">
        <x:v>Videoaula</x:v>
      </x:c>
      <x:c r="E249" s="40" t="str">
        <x:v>Não iniciado</x:v>
      </x:c>
      <x:c r="F249" s="41" t="str"/>
      <x:c r="G249" s="42" t="str"/>
      <x:c r="H249" s="40" t="str">
        <x:v>Normal</x:v>
      </x:c>
      <x:c r="I249" s="40" t="str">
        <x:f>IF(E249="Concluído","Concluído",IF(A249&lt;TODAY(),"Atrasado",IF(A249=TODAY(),"Hoje","Futuro")))</x:f>
        <x:v>Futuro</x:v>
      </x:c>
      <x:c r="J249" s="43" t="n">
        <x:f>IF(OR(E249="Concluído",A249&gt;=TODAY()),0,TODAY()-A249)</x:f>
        <x:v>0</x:v>
      </x:c>
      <x:c r="K249" s="40" t="str"/>
    </x:row>
    <x:row r="250">
      <x:c r="A250" s="34" t="n">
        <x:v>46279</x:v>
      </x:c>
      <x:c r="B250" s="40" t="str">
        <x:v>Língua Portuguesa</x:v>
      </x:c>
      <x:c r="C250" s="40" t="str">
        <x:v>17 - Resolução de Prova - FGV TCE - RR - Analista Adm 2025</x:v>
      </x:c>
      <x:c r="D250" s="40" t="str">
        <x:v>Videoaula</x:v>
      </x:c>
      <x:c r="E250" s="40" t="str">
        <x:v>Não iniciado</x:v>
      </x:c>
      <x:c r="F250" s="41" t="str"/>
      <x:c r="G250" s="42" t="str"/>
      <x:c r="H250" s="40" t="str">
        <x:v>Normal</x:v>
      </x:c>
      <x:c r="I250" s="40" t="str">
        <x:f>IF(E250="Concluído","Concluído",IF(A250&lt;TODAY(),"Atrasado",IF(A250=TODAY(),"Hoje","Futuro")))</x:f>
        <x:v>Futuro</x:v>
      </x:c>
      <x:c r="J250" s="43" t="n">
        <x:f>IF(OR(E250="Concluído",A250&gt;=TODAY()),0,TODAY()-A250)</x:f>
        <x:v>0</x:v>
      </x:c>
      <x:c r="K250" s="40" t="str"/>
    </x:row>
    <x:row r="251">
      <x:c r="A251" s="34" t="n">
        <x:v>46279</x:v>
      </x:c>
      <x:c r="B251" s="40" t="str">
        <x:v>Língua Inglesa</x:v>
      </x:c>
      <x:c r="C251" s="40" t="str">
        <x:v>16 - Língua Inglesa - Empowering The Workforce Of Tomorrow</x:v>
      </x:c>
      <x:c r="D251" s="40" t="str">
        <x:v>Videoaula</x:v>
      </x:c>
      <x:c r="E251" s="40" t="str">
        <x:v>Não iniciado</x:v>
      </x:c>
      <x:c r="F251" s="41" t="str"/>
      <x:c r="G251" s="42" t="str"/>
      <x:c r="H251" s="40" t="str">
        <x:v>Normal</x:v>
      </x:c>
      <x:c r="I251" s="40" t="str">
        <x:f>IF(E251="Concluído","Concluído",IF(A251&lt;TODAY(),"Atrasado",IF(A251=TODAY(),"Hoje","Futuro")))</x:f>
        <x:v>Futuro</x:v>
      </x:c>
      <x:c r="J251" s="43" t="n">
        <x:f>IF(OR(E251="Concluído",A251&gt;=TODAY()),0,TODAY()-A251)</x:f>
        <x:v>0</x:v>
      </x:c>
      <x:c r="K251" s="40" t="str"/>
    </x:row>
    <x:row r="252">
      <x:c r="A252" s="34" t="n">
        <x:v>46279</x:v>
      </x:c>
      <x:c r="B252" s="40" t="str">
        <x:v>Língua Inglesa</x:v>
      </x:c>
      <x:c r="C252" s="40" t="str">
        <x:v>17 - Língua Inglesa - Empowering The Workforce Of Tomorrow II</x:v>
      </x:c>
      <x:c r="D252" s="40" t="str">
        <x:v>Videoaula</x:v>
      </x:c>
      <x:c r="E252" s="40" t="str">
        <x:v>Não iniciado</x:v>
      </x:c>
      <x:c r="F252" s="41" t="str"/>
      <x:c r="G252" s="42" t="str"/>
      <x:c r="H252" s="40" t="str">
        <x:v>Normal</x:v>
      </x:c>
      <x:c r="I252" s="40" t="str">
        <x:f>IF(E252="Concluído","Concluído",IF(A252&lt;TODAY(),"Atrasado",IF(A252=TODAY(),"Hoje","Futuro")))</x:f>
        <x:v>Futuro</x:v>
      </x:c>
      <x:c r="J252" s="43" t="n">
        <x:f>IF(OR(E252="Concluído",A252&gt;=TODAY()),0,TODAY()-A252)</x:f>
        <x:v>0</x:v>
      </x:c>
      <x:c r="K252" s="40" t="str"/>
    </x:row>
    <x:row r="253">
      <x:c r="A253" s="34" t="n">
        <x:v>46280</x:v>
      </x:c>
      <x:c r="B253" s="40" t="str">
        <x:v>Língua Inglesa</x:v>
      </x:c>
      <x:c r="C253" s="40" t="str">
        <x:v>17 - Língua Inglesa - Empowering The Workforce Of Tomorrow II</x:v>
      </x:c>
      <x:c r="D253" s="40" t="str">
        <x:v>Videoaula</x:v>
      </x:c>
      <x:c r="E253" s="40" t="str">
        <x:v>Não iniciado</x:v>
      </x:c>
      <x:c r="F253" s="41" t="str"/>
      <x:c r="G253" s="42" t="str"/>
      <x:c r="H253" s="40" t="str">
        <x:v>Normal</x:v>
      </x:c>
      <x:c r="I253" s="40" t="str">
        <x:f>IF(E253="Concluído","Concluído",IF(A253&lt;TODAY(),"Atrasado",IF(A253=TODAY(),"Hoje","Futuro")))</x:f>
        <x:v>Futuro</x:v>
      </x:c>
      <x:c r="J253" s="43" t="n">
        <x:f>IF(OR(E253="Concluído",A253&gt;=TODAY()),0,TODAY()-A253)</x:f>
        <x:v>0</x:v>
      </x:c>
      <x:c r="K253" s="40" t="str"/>
    </x:row>
    <x:row r="254">
      <x:c r="A254" s="34" t="n">
        <x:v>46280</x:v>
      </x:c>
      <x:c r="B254" s="40" t="str">
        <x:v>Raciocínio Lógico</x:v>
      </x:c>
      <x:c r="C254" s="40" t="str">
        <x:v>16 - Sequência de Figuras</x:v>
      </x:c>
      <x:c r="D254" s="40" t="str">
        <x:v>Videoaula</x:v>
      </x:c>
      <x:c r="E254" s="40" t="str">
        <x:v>Não iniciado</x:v>
      </x:c>
      <x:c r="F254" s="41" t="str"/>
      <x:c r="G254" s="42" t="str"/>
      <x:c r="H254" s="40" t="str">
        <x:v>Normal</x:v>
      </x:c>
      <x:c r="I254" s="40" t="str">
        <x:f>IF(E254="Concluído","Concluído",IF(A254&lt;TODAY(),"Atrasado",IF(A254=TODAY(),"Hoje","Futuro")))</x:f>
        <x:v>Futuro</x:v>
      </x:c>
      <x:c r="J254" s="43" t="n">
        <x:f>IF(OR(E254="Concluído",A254&gt;=TODAY()),0,TODAY()-A254)</x:f>
        <x:v>0</x:v>
      </x:c>
      <x:c r="K254" s="40" t="str"/>
    </x:row>
    <x:row r="255">
      <x:c r="A255" s="34" t="n">
        <x:v>46280</x:v>
      </x:c>
      <x:c r="B255" s="40" t="str">
        <x:v>Raciocínio Lógico</x:v>
      </x:c>
      <x:c r="C255" s="40" t="str">
        <x:v>1 - Associação Lógica</x:v>
      </x:c>
      <x:c r="D255" s="40" t="str">
        <x:v>Videoaula</x:v>
      </x:c>
      <x:c r="E255" s="40" t="str">
        <x:v>Não iniciado</x:v>
      </x:c>
      <x:c r="F255" s="41" t="str"/>
      <x:c r="G255" s="42" t="str"/>
      <x:c r="H255" s="40" t="str">
        <x:v>Normal</x:v>
      </x:c>
      <x:c r="I255" s="40" t="str">
        <x:f>IF(E255="Concluído","Concluído",IF(A255&lt;TODAY(),"Atrasado",IF(A255=TODAY(),"Hoje","Futuro")))</x:f>
        <x:v>Futuro</x:v>
      </x:c>
      <x:c r="J255" s="43" t="n">
        <x:f>IF(OR(E255="Concluído",A255&gt;=TODAY()),0,TODAY()-A255)</x:f>
        <x:v>0</x:v>
      </x:c>
      <x:c r="K255" s="40" t="str"/>
    </x:row>
    <x:row r="256">
      <x:c r="A256" s="34" t="n">
        <x:v>46280</x:v>
      </x:c>
      <x:c r="B256" s="40" t="str">
        <x:v>Atualidades e Inteligência Artificial</x:v>
      </x:c>
      <x:c r="C256" s="40" t="str">
        <x:v>16 - Inovações Tecnológicas e Científicas II</x:v>
      </x:c>
      <x:c r="D256" s="40" t="str">
        <x:v>Videoaula</x:v>
      </x:c>
      <x:c r="E256" s="40" t="str">
        <x:v>Não iniciado</x:v>
      </x:c>
      <x:c r="F256" s="41" t="str"/>
      <x:c r="G256" s="42" t="str"/>
      <x:c r="H256" s="40" t="str">
        <x:v>Normal</x:v>
      </x:c>
      <x:c r="I256" s="40" t="str">
        <x:f>IF(E256="Concluído","Concluído",IF(A256&lt;TODAY(),"Atrasado",IF(A256=TODAY(),"Hoje","Futuro")))</x:f>
        <x:v>Futuro</x:v>
      </x:c>
      <x:c r="J256" s="43" t="n">
        <x:f>IF(OR(E256="Concluído",A256&gt;=TODAY()),0,TODAY()-A256)</x:f>
        <x:v>0</x:v>
      </x:c>
      <x:c r="K256" s="40" t="str"/>
    </x:row>
    <x:row r="257">
      <x:c r="A257" s="34" t="n">
        <x:v>46281</x:v>
      </x:c>
      <x:c r="B257" s="40" t="str">
        <x:v>Atualidades e Inteligência Artificial</x:v>
      </x:c>
      <x:c r="C257" s="40" t="str">
        <x:v>16 - Inovações Tecnológicas e Científicas II</x:v>
      </x:c>
      <x:c r="D257" s="40" t="str">
        <x:v>Videoaula</x:v>
      </x:c>
      <x:c r="E257" s="40" t="str">
        <x:v>Não iniciado</x:v>
      </x:c>
      <x:c r="F257" s="41" t="str"/>
      <x:c r="G257" s="42" t="str"/>
      <x:c r="H257" s="40" t="str">
        <x:v>Normal</x:v>
      </x:c>
      <x:c r="I257" s="40" t="str">
        <x:f>IF(E257="Concluído","Concluído",IF(A257&lt;TODAY(),"Atrasado",IF(A257=TODAY(),"Hoje","Futuro")))</x:f>
        <x:v>Futuro</x:v>
      </x:c>
      <x:c r="J257" s="43" t="n">
        <x:f>IF(OR(E257="Concluído",A257&gt;=TODAY()),0,TODAY()-A257)</x:f>
        <x:v>0</x:v>
      </x:c>
      <x:c r="K257" s="40" t="str"/>
    </x:row>
    <x:row r="258">
      <x:c r="A258" s="34" t="n">
        <x:v>46281</x:v>
      </x:c>
      <x:c r="B258" s="40" t="str">
        <x:v>Atualidades e Inteligência Artificial</x:v>
      </x:c>
      <x:c r="C258" s="40" t="str">
        <x:v>17 - Inovações Tecnológicas e Científicas III</x:v>
      </x:c>
      <x:c r="D258" s="40" t="str">
        <x:v>Videoaula</x:v>
      </x:c>
      <x:c r="E258" s="40" t="str">
        <x:v>Não iniciado</x:v>
      </x:c>
      <x:c r="F258" s="41" t="str"/>
      <x:c r="G258" s="42" t="str"/>
      <x:c r="H258" s="40" t="str">
        <x:v>Normal</x:v>
      </x:c>
      <x:c r="I258" s="40" t="str">
        <x:f>IF(E258="Concluído","Concluído",IF(A258&lt;TODAY(),"Atrasado",IF(A258=TODAY(),"Hoje","Futuro")))</x:f>
        <x:v>Futuro</x:v>
      </x:c>
      <x:c r="J258" s="43" t="n">
        <x:f>IF(OR(E258="Concluído",A258&gt;=TODAY()),0,TODAY()-A258)</x:f>
        <x:v>0</x:v>
      </x:c>
      <x:c r="K258" s="40" t="str"/>
    </x:row>
    <x:row r="259">
      <x:c r="A259" s="34" t="n">
        <x:v>46281</x:v>
      </x:c>
      <x:c r="B259" s="40" t="str">
        <x:v>Legislação Acerca de Segurança da Informação e Proteção de Dados</x:v>
      </x:c>
      <x:c r="C259" s="40" t="str">
        <x:v>1 - Crimes Cibernéticos - Lei Carolina Dieckman - Lei nº 12.737/2012</x:v>
      </x:c>
      <x:c r="D259" s="40" t="str">
        <x:v>Videoaula</x:v>
      </x:c>
      <x:c r="E259" s="40" t="str">
        <x:v>Não iniciado</x:v>
      </x:c>
      <x:c r="F259" s="41" t="str"/>
      <x:c r="G259" s="42" t="str"/>
      <x:c r="H259" s="40" t="str">
        <x:v>Normal</x:v>
      </x:c>
      <x:c r="I259" s="40" t="str">
        <x:f>IF(E259="Concluído","Concluído",IF(A259&lt;TODAY(),"Atrasado",IF(A259=TODAY(),"Hoje","Futuro")))</x:f>
        <x:v>Futuro</x:v>
      </x:c>
      <x:c r="J259" s="43" t="n">
        <x:f>IF(OR(E259="Concluído",A259&gt;=TODAY()),0,TODAY()-A259)</x:f>
        <x:v>0</x:v>
      </x:c>
      <x:c r="K259" s="40" t="str"/>
    </x:row>
    <x:row r="260">
      <x:c r="A260" s="34" t="n">
        <x:v>46281</x:v>
      </x:c>
      <x:c r="B260" s="40" t="str">
        <x:v>Legislação Acerca de Segurança da Informação e Proteção de Dados</x:v>
      </x:c>
      <x:c r="C260" s="40" t="str">
        <x:v>1 - Lei nº 12.965/2014 - Marco Civil da Internet - Art. 1º ao 4º</x:v>
      </x:c>
      <x:c r="D260" s="40" t="str">
        <x:v>Videoaula</x:v>
      </x:c>
      <x:c r="E260" s="40" t="str">
        <x:v>Não iniciado</x:v>
      </x:c>
      <x:c r="F260" s="41" t="str"/>
      <x:c r="G260" s="42" t="str"/>
      <x:c r="H260" s="40" t="str">
        <x:v>Normal</x:v>
      </x:c>
      <x:c r="I260" s="40" t="str">
        <x:f>IF(E260="Concluído","Concluído",IF(A260&lt;TODAY(),"Atrasado",IF(A260=TODAY(),"Hoje","Futuro")))</x:f>
        <x:v>Futuro</x:v>
      </x:c>
      <x:c r="J260" s="43" t="n">
        <x:f>IF(OR(E260="Concluído",A260&gt;=TODAY()),0,TODAY()-A260)</x:f>
        <x:v>0</x:v>
      </x:c>
      <x:c r="K260" s="40" t="str"/>
    </x:row>
    <x:row r="261">
      <x:c r="A261" s="34" t="n">
        <x:v>46282</x:v>
      </x:c>
      <x:c r="B261" s="40" t="str">
        <x:v>Legislação Acerca de Segurança da Informação e Proteção de Dados</x:v>
      </x:c>
      <x:c r="C261" s="40" t="str">
        <x:v>1 - Lei nº 12.965/2014 - Marco Civil da Internet - Art. 1º ao 4º</x:v>
      </x:c>
      <x:c r="D261" s="40" t="str">
        <x:v>Videoaula</x:v>
      </x:c>
      <x:c r="E261" s="40" t="str">
        <x:v>Não iniciado</x:v>
      </x:c>
      <x:c r="F261" s="41" t="str"/>
      <x:c r="G261" s="42" t="str"/>
      <x:c r="H261" s="40" t="str">
        <x:v>Normal</x:v>
      </x:c>
      <x:c r="I261" s="40" t="str">
        <x:f>IF(E261="Concluído","Concluído",IF(A261&lt;TODAY(),"Atrasado",IF(A261=TODAY(),"Hoje","Futuro")))</x:f>
        <x:v>Futuro</x:v>
      </x:c>
      <x:c r="J261" s="43" t="n">
        <x:f>IF(OR(E261="Concluído",A261&gt;=TODAY()),0,TODAY()-A261)</x:f>
        <x:v>0</x:v>
      </x:c>
      <x:c r="K261" s="40" t="str"/>
    </x:row>
    <x:row r="262">
      <x:c r="A262" s="34" t="n">
        <x:v>46282</x:v>
      </x:c>
      <x:c r="B262" s="40" t="str">
        <x:v>Gestão e Governança de Tecnologia da Informação</x:v>
      </x:c>
      <x:c r="C262" s="40" t="str">
        <x:v>16 - Lei 13.303/2016 - Atualização pela Lei nº 15.177/2025</x:v>
      </x:c>
      <x:c r="D262" s="40" t="str">
        <x:v>Videoaula</x:v>
      </x:c>
      <x:c r="E262" s="40" t="str">
        <x:v>Não iniciado</x:v>
      </x:c>
      <x:c r="F262" s="41" t="str"/>
      <x:c r="G262" s="42" t="str"/>
      <x:c r="H262" s="40" t="str">
        <x:v>Normal</x:v>
      </x:c>
      <x:c r="I262" s="40" t="str">
        <x:f>IF(E262="Concluído","Concluído",IF(A262&lt;TODAY(),"Atrasado",IF(A262=TODAY(),"Hoje","Futuro")))</x:f>
        <x:v>Futuro</x:v>
      </x:c>
      <x:c r="J262" s="43" t="n">
        <x:f>IF(OR(E262="Concluído",A262&gt;=TODAY()),0,TODAY()-A262)</x:f>
        <x:v>0</x:v>
      </x:c>
      <x:c r="K262" s="40" t="str"/>
    </x:row>
    <x:row r="263">
      <x:c r="A263" s="34" t="n">
        <x:v>46282</x:v>
      </x:c>
      <x:c r="B263" s="40" t="str">
        <x:v>Gestão e Governança de Tecnologia da Informação</x:v>
      </x:c>
      <x:c r="C263" s="40" t="str">
        <x:v>1 - Instrução Normativa SGD/ME nº 94/2022 - Contratação de Soluções de Tecnologia da Informação e Comunicação - TIC</x:v>
      </x:c>
      <x:c r="D263" s="40" t="str">
        <x:v>Videoaula</x:v>
      </x:c>
      <x:c r="E263" s="40" t="str">
        <x:v>Não iniciado</x:v>
      </x:c>
      <x:c r="F263" s="41" t="str"/>
      <x:c r="G263" s="42" t="str"/>
      <x:c r="H263" s="40" t="str">
        <x:v>Normal</x:v>
      </x:c>
      <x:c r="I263" s="40" t="str">
        <x:f>IF(E263="Concluído","Concluído",IF(A263&lt;TODAY(),"Atrasado",IF(A263=TODAY(),"Hoje","Futuro")))</x:f>
        <x:v>Futuro</x:v>
      </x:c>
      <x:c r="J263" s="43" t="n">
        <x:f>IF(OR(E263="Concluído",A263&gt;=TODAY()),0,TODAY()-A263)</x:f>
        <x:v>0</x:v>
      </x:c>
      <x:c r="K263" s="40" t="str"/>
    </x:row>
    <x:row r="264">
      <x:c r="A264" s="34" t="n">
        <x:v>46282</x:v>
      </x:c>
      <x:c r="B264" s="40" t="str">
        <x:v>Banco de Dados</x:v>
      </x:c>
      <x:c r="C264" s="40" t="str">
        <x:v>2 - Banco de Dados - Tipos de Usuários Linguagem e Arquitetura SGBDS</x:v>
      </x:c>
      <x:c r="D264" s="40" t="str">
        <x:v>Videoaula</x:v>
      </x:c>
      <x:c r="E264" s="40" t="str">
        <x:v>Não iniciado</x:v>
      </x:c>
      <x:c r="F264" s="41" t="str"/>
      <x:c r="G264" s="42" t="str"/>
      <x:c r="H264" s="40" t="str">
        <x:v>Normal</x:v>
      </x:c>
      <x:c r="I264" s="40" t="str">
        <x:f>IF(E264="Concluído","Concluído",IF(A264&lt;TODAY(),"Atrasado",IF(A264=TODAY(),"Hoje","Futuro")))</x:f>
        <x:v>Futuro</x:v>
      </x:c>
      <x:c r="J264" s="43" t="n">
        <x:f>IF(OR(E264="Concluído",A264&gt;=TODAY()),0,TODAY()-A264)</x:f>
        <x:v>0</x:v>
      </x:c>
      <x:c r="K264" s="40" t="str"/>
    </x:row>
    <x:row r="265">
      <x:c r="A265" s="34" t="n">
        <x:v>46282</x:v>
      </x:c>
      <x:c r="B265" s="40" t="str">
        <x:v>Banco de Dados</x:v>
      </x:c>
      <x:c r="C265" s="40" t="str">
        <x:v>3 - Banco de Dados - Projeto de BD</x:v>
      </x:c>
      <x:c r="D265" s="40" t="str">
        <x:v>Videoaula</x:v>
      </x:c>
      <x:c r="E265" s="40" t="str">
        <x:v>Não iniciado</x:v>
      </x:c>
      <x:c r="F265" s="41" t="str"/>
      <x:c r="G265" s="42" t="str"/>
      <x:c r="H265" s="40" t="str">
        <x:v>Normal</x:v>
      </x:c>
      <x:c r="I265" s="40" t="str">
        <x:f>IF(E265="Concluído","Concluído",IF(A265&lt;TODAY(),"Atrasado",IF(A265=TODAY(),"Hoje","Futuro")))</x:f>
        <x:v>Futuro</x:v>
      </x:c>
      <x:c r="J265" s="43" t="n">
        <x:f>IF(OR(E265="Concluído",A265&gt;=TODAY()),0,TODAY()-A265)</x:f>
        <x:v>0</x:v>
      </x:c>
      <x:c r="K265" s="40" t="str"/>
    </x:row>
    <x:row r="266">
      <x:c r="A266" s="34" t="n">
        <x:v>46283</x:v>
      </x:c>
      <x:c r="B266" s="40" t="str">
        <x:v>Banco de Dados</x:v>
      </x:c>
      <x:c r="C266" s="40" t="str">
        <x:v>3 - Banco de Dados - Projeto de BD</x:v>
      </x:c>
      <x:c r="D266" s="40" t="str">
        <x:v>Videoaula</x:v>
      </x:c>
      <x:c r="E266" s="40" t="str">
        <x:v>Não iniciado</x:v>
      </x:c>
      <x:c r="F266" s="41" t="str"/>
      <x:c r="G266" s="42" t="str"/>
      <x:c r="H266" s="40" t="str">
        <x:v>Normal</x:v>
      </x:c>
      <x:c r="I266" s="40" t="str">
        <x:f>IF(E266="Concluído","Concluído",IF(A266&lt;TODAY(),"Atrasado",IF(A266=TODAY(),"Hoje","Futuro")))</x:f>
        <x:v>Futuro</x:v>
      </x:c>
      <x:c r="J266" s="43" t="n">
        <x:f>IF(OR(E266="Concluído",A266&gt;=TODAY()),0,TODAY()-A266)</x:f>
        <x:v>0</x:v>
      </x:c>
      <x:c r="K266" s="40" t="str"/>
    </x:row>
    <x:row r="267">
      <x:c r="A267" s="34" t="n">
        <x:v>46283</x:v>
      </x:c>
      <x:c r="B267" s="40" t="str">
        <x:v>Língua Portuguesa</x:v>
      </x:c>
      <x:c r="C267" s="40" t="str">
        <x:v>9 - Reescrita</x:v>
      </x:c>
      <x:c r="D267" s="40" t="str">
        <x:v>Pdf</x:v>
      </x:c>
      <x:c r="E267" s="40" t="str">
        <x:v>Não iniciado</x:v>
      </x:c>
      <x:c r="F267" s="41" t="str"/>
      <x:c r="G267" s="42" t="str"/>
      <x:c r="H267" s="40" t="str">
        <x:v>Normal</x:v>
      </x:c>
      <x:c r="I267" s="40" t="str">
        <x:f>IF(E267="Concluído","Concluído",IF(A267&lt;TODAY(),"Atrasado",IF(A267=TODAY(),"Hoje","Futuro")))</x:f>
        <x:v>Futuro</x:v>
      </x:c>
      <x:c r="J267" s="43" t="n">
        <x:f>IF(OR(E267="Concluído",A267&gt;=TODAY()),0,TODAY()-A267)</x:f>
        <x:v>0</x:v>
      </x:c>
      <x:c r="K267" s="40" t="str"/>
    </x:row>
    <x:row r="268">
      <x:c r="A268" s="34" t="n">
        <x:v>46283</x:v>
      </x:c>
      <x:c r="B268" s="40" t="str">
        <x:v>Legislação Acerca de Segurança da Informação e Proteção de Dados</x:v>
      </x:c>
      <x:c r="C268" s="40" t="str">
        <x:v>2 - Lei n. 13.709/2018 – Lei Geral de Proteção de Dados – Parte II</x:v>
      </x:c>
      <x:c r="D268" s="40" t="str">
        <x:v>Pdf</x:v>
      </x:c>
      <x:c r="E268" s="40" t="str">
        <x:v>Não iniciado</x:v>
      </x:c>
      <x:c r="F268" s="41" t="str"/>
      <x:c r="G268" s="42" t="str"/>
      <x:c r="H268" s="40" t="str">
        <x:v>Normal</x:v>
      </x:c>
      <x:c r="I268" s="40" t="str">
        <x:f>IF(E268="Concluído","Concluído",IF(A268&lt;TODAY(),"Atrasado",IF(A268=TODAY(),"Hoje","Futuro")))</x:f>
        <x:v>Futuro</x:v>
      </x:c>
      <x:c r="J268" s="43" t="n">
        <x:f>IF(OR(E268="Concluído",A268&gt;=TODAY()),0,TODAY()-A268)</x:f>
        <x:v>0</x:v>
      </x:c>
      <x:c r="K268" s="40" t="str"/>
    </x:row>
    <x:row r="269">
      <x:c r="A269" s="34" t="n">
        <x:v>46284</x:v>
      </x:c>
      <x:c r="B269" s="40" t="str">
        <x:v>Legislação Acerca de Segurança da Informação e Proteção de Dados</x:v>
      </x:c>
      <x:c r="C269" s="40" t="str">
        <x:v>2 - Lei n. 13.709/2018 – Lei Geral de Proteção de Dados – Parte II</x:v>
      </x:c>
      <x:c r="D269" s="40" t="str">
        <x:v>Pdf</x:v>
      </x:c>
      <x:c r="E269" s="40" t="str">
        <x:v>Não iniciado</x:v>
      </x:c>
      <x:c r="F269" s="41" t="str"/>
      <x:c r="G269" s="42" t="str"/>
      <x:c r="H269" s="40" t="str">
        <x:v>Normal</x:v>
      </x:c>
      <x:c r="I269" s="40" t="str">
        <x:f>IF(E269="Concluído","Concluído",IF(A269&lt;TODAY(),"Atrasado",IF(A269=TODAY(),"Hoje","Futuro")))</x:f>
        <x:v>Futuro</x:v>
      </x:c>
      <x:c r="J269" s="43" t="n">
        <x:f>IF(OR(E269="Concluído",A269&gt;=TODAY()),0,TODAY()-A269)</x:f>
        <x:v>0</x:v>
      </x:c>
      <x:c r="K269" s="40" t="str"/>
    </x:row>
    <x:row r="270">
      <x:c r="A270" s="34" t="n">
        <x:v>46284</x:v>
      </x:c>
      <x:c r="B270" s="40" t="str">
        <x:v>Inteligência Emocional</x:v>
      </x:c>
      <x:c r="C270" s="40" t="str">
        <x:v>9 - ELO 9: A Tristeza e o Concurseiro</x:v>
      </x:c>
      <x:c r="D270" s="40" t="str">
        <x:v>Pdf</x:v>
      </x:c>
      <x:c r="E270" s="40" t="str">
        <x:v>Não iniciado</x:v>
      </x:c>
      <x:c r="F270" s="41" t="str"/>
      <x:c r="G270" s="42" t="str"/>
      <x:c r="H270" s="40" t="str">
        <x:v>Normal</x:v>
      </x:c>
      <x:c r="I270" s="40" t="str">
        <x:f>IF(E270="Concluído","Concluído",IF(A270&lt;TODAY(),"Atrasado",IF(A270=TODAY(),"Hoje","Futuro")))</x:f>
        <x:v>Futuro</x:v>
      </x:c>
      <x:c r="J270" s="43" t="n">
        <x:f>IF(OR(E270="Concluído",A270&gt;=TODAY()),0,TODAY()-A270)</x:f>
        <x:v>0</x:v>
      </x:c>
      <x:c r="K270" s="40" t="str"/>
    </x:row>
    <x:row r="271">
      <x:c r="A271" s="34" t="n">
        <x:v>46284</x:v>
      </x:c>
      <x:c r="B271" s="40" t="str">
        <x:v>Língua Portuguesa</x:v>
      </x:c>
      <x:c r="C271" s="40" t="str">
        <x:v>18 - Resolução de Prova - ADAB Fiscal Estadual 2024</x:v>
      </x:c>
      <x:c r="D271" s="40" t="str">
        <x:v>Videoaula</x:v>
      </x:c>
      <x:c r="E271" s="40" t="str">
        <x:v>Não iniciado</x:v>
      </x:c>
      <x:c r="F271" s="41" t="str"/>
      <x:c r="G271" s="42" t="str"/>
      <x:c r="H271" s="40" t="str">
        <x:v>Normal</x:v>
      </x:c>
      <x:c r="I271" s="40" t="str">
        <x:f>IF(E271="Concluído","Concluído",IF(A271&lt;TODAY(),"Atrasado",IF(A271=TODAY(),"Hoje","Futuro")))</x:f>
        <x:v>Futuro</x:v>
      </x:c>
      <x:c r="J271" s="43" t="n">
        <x:f>IF(OR(E271="Concluído",A271&gt;=TODAY()),0,TODAY()-A271)</x:f>
        <x:v>0</x:v>
      </x:c>
      <x:c r="K271" s="40" t="str"/>
    </x:row>
    <x:row r="272">
      <x:c r="A272" s="34" t="n">
        <x:v>46284</x:v>
      </x:c>
      <x:c r="B272" s="40" t="str">
        <x:v>Língua Portuguesa</x:v>
      </x:c>
      <x:c r="C272" s="40" t="str">
        <x:v>19 - Resolução da Prova TJMT/Analista Judiciário/2024</x:v>
      </x:c>
      <x:c r="D272" s="40" t="str">
        <x:v>Videoaula</x:v>
      </x:c>
      <x:c r="E272" s="40" t="str">
        <x:v>Não iniciado</x:v>
      </x:c>
      <x:c r="F272" s="41" t="str"/>
      <x:c r="G272" s="42" t="str"/>
      <x:c r="H272" s="40" t="str">
        <x:v>Normal</x:v>
      </x:c>
      <x:c r="I272" s="40" t="str">
        <x:f>IF(E272="Concluído","Concluído",IF(A272&lt;TODAY(),"Atrasado",IF(A272=TODAY(),"Hoje","Futuro")))</x:f>
        <x:v>Futuro</x:v>
      </x:c>
      <x:c r="J272" s="43" t="n">
        <x:f>IF(OR(E272="Concluído",A272&gt;=TODAY()),0,TODAY()-A272)</x:f>
        <x:v>0</x:v>
      </x:c>
      <x:c r="K272" s="40" t="str"/>
    </x:row>
    <x:row r="273">
      <x:c r="A273" s="34" t="n">
        <x:v>46285</x:v>
      </x:c>
      <x:c r="B273" s="40" t="str">
        <x:v>Língua Portuguesa</x:v>
      </x:c>
      <x:c r="C273" s="40" t="str">
        <x:v>19 - Resolução da Prova TJMT/Analista Judiciário/2024</x:v>
      </x:c>
      <x:c r="D273" s="40" t="str">
        <x:v>Videoaula</x:v>
      </x:c>
      <x:c r="E273" s="40" t="str">
        <x:v>Não iniciado</x:v>
      </x:c>
      <x:c r="F273" s="41" t="str"/>
      <x:c r="G273" s="42" t="str"/>
      <x:c r="H273" s="40" t="str">
        <x:v>Normal</x:v>
      </x:c>
      <x:c r="I273" s="40" t="str">
        <x:f>IF(E273="Concluído","Concluído",IF(A273&lt;TODAY(),"Atrasado",IF(A273=TODAY(),"Hoje","Futuro")))</x:f>
        <x:v>Futuro</x:v>
      </x:c>
      <x:c r="J273" s="43" t="n">
        <x:f>IF(OR(E273="Concluído",A273&gt;=TODAY()),0,TODAY()-A273)</x:f>
        <x:v>0</x:v>
      </x:c>
      <x:c r="K273" s="40" t="str"/>
    </x:row>
    <x:row r="274">
      <x:c r="A274" s="34" t="n">
        <x:v>46285</x:v>
      </x:c>
      <x:c r="B274" s="40" t="str">
        <x:v>Língua Inglesa</x:v>
      </x:c>
      <x:c r="C274" s="40" t="str">
        <x:v>18 - Língua Inglesa - Global Plastic Treaty</x:v>
      </x:c>
      <x:c r="D274" s="40" t="str">
        <x:v>Videoaula</x:v>
      </x:c>
      <x:c r="E274" s="40" t="str">
        <x:v>Não iniciado</x:v>
      </x:c>
      <x:c r="F274" s="41" t="str"/>
      <x:c r="G274" s="42" t="str"/>
      <x:c r="H274" s="40" t="str">
        <x:v>Normal</x:v>
      </x:c>
      <x:c r="I274" s="40" t="str">
        <x:f>IF(E274="Concluído","Concluído",IF(A274&lt;TODAY(),"Atrasado",IF(A274=TODAY(),"Hoje","Futuro")))</x:f>
        <x:v>Futuro</x:v>
      </x:c>
      <x:c r="J274" s="43" t="n">
        <x:f>IF(OR(E274="Concluído",A274&gt;=TODAY()),0,TODAY()-A274)</x:f>
        <x:v>0</x:v>
      </x:c>
      <x:c r="K274" s="40" t="str"/>
    </x:row>
    <x:row r="275">
      <x:c r="A275" s="34" t="n">
        <x:v>46285</x:v>
      </x:c>
      <x:c r="B275" s="40" t="str">
        <x:v>Língua Inglesa</x:v>
      </x:c>
      <x:c r="C275" s="40" t="str">
        <x:v>19 - Língua Inglesa - Global Plastic Treaty II</x:v>
      </x:c>
      <x:c r="D275" s="40" t="str">
        <x:v>Videoaula</x:v>
      </x:c>
      <x:c r="E275" s="40" t="str">
        <x:v>Não iniciado</x:v>
      </x:c>
      <x:c r="F275" s="41" t="str"/>
      <x:c r="G275" s="42" t="str"/>
      <x:c r="H275" s="40" t="str">
        <x:v>Normal</x:v>
      </x:c>
      <x:c r="I275" s="40" t="str">
        <x:f>IF(E275="Concluído","Concluído",IF(A275&lt;TODAY(),"Atrasado",IF(A275=TODAY(),"Hoje","Futuro")))</x:f>
        <x:v>Futuro</x:v>
      </x:c>
      <x:c r="J275" s="43" t="n">
        <x:f>IF(OR(E275="Concluído",A275&gt;=TODAY()),0,TODAY()-A275)</x:f>
        <x:v>0</x:v>
      </x:c>
      <x:c r="K275" s="40" t="str"/>
    </x:row>
    <x:row r="276">
      <x:c r="A276" s="34" t="n">
        <x:v>46285</x:v>
      </x:c>
      <x:c r="B276" s="40" t="str">
        <x:v>Raciocínio Lógico</x:v>
      </x:c>
      <x:c r="C276" s="40" t="str">
        <x:v>2 - Associação Lógica II</x:v>
      </x:c>
      <x:c r="D276" s="40" t="str">
        <x:v>Videoaula</x:v>
      </x:c>
      <x:c r="E276" s="40" t="str">
        <x:v>Não iniciado</x:v>
      </x:c>
      <x:c r="F276" s="41" t="str"/>
      <x:c r="G276" s="42" t="str"/>
      <x:c r="H276" s="40" t="str">
        <x:v>Normal</x:v>
      </x:c>
      <x:c r="I276" s="40" t="str">
        <x:f>IF(E276="Concluído","Concluído",IF(A276&lt;TODAY(),"Atrasado",IF(A276=TODAY(),"Hoje","Futuro")))</x:f>
        <x:v>Futuro</x:v>
      </x:c>
      <x:c r="J276" s="43" t="n">
        <x:f>IF(OR(E276="Concluído",A276&gt;=TODAY()),0,TODAY()-A276)</x:f>
        <x:v>0</x:v>
      </x:c>
      <x:c r="K276" s="40" t="str"/>
    </x:row>
    <x:row r="277">
      <x:c r="A277" s="34" t="n">
        <x:v>46285</x:v>
      </x:c>
      <x:c r="B277" s="40" t="str">
        <x:v>Revisão</x:v>
      </x:c>
      <x:c r="C277" s="40" t="str">
        <x:v>Revisão</x:v>
      </x:c>
      <x:c r="D277" s="40" t="str">
        <x:v>Revisao</x:v>
      </x:c>
      <x:c r="E277" s="40" t="str">
        <x:v>Não iniciado</x:v>
      </x:c>
      <x:c r="F277" s="41" t="str"/>
      <x:c r="G277" s="42" t="str"/>
      <x:c r="H277" s="40" t="str">
        <x:v>Normal</x:v>
      </x:c>
      <x:c r="I277" s="40" t="str">
        <x:f>IF(E277="Concluído","Concluído",IF(A277&lt;TODAY(),"Atrasado",IF(A277=TODAY(),"Hoje","Futuro")))</x:f>
        <x:v>Futuro</x:v>
      </x:c>
      <x:c r="J277" s="43" t="n">
        <x:f>IF(OR(E277="Concluído",A277&gt;=TODAY()),0,TODAY()-A277)</x:f>
        <x:v>0</x:v>
      </x:c>
      <x:c r="K277" s="40" t="str"/>
    </x:row>
    <x:row r="278">
      <x:c r="A278" s="34" t="n">
        <x:v>46286</x:v>
      </x:c>
      <x:c r="B278" s="40" t="str">
        <x:v>Raciocínio Lógico</x:v>
      </x:c>
      <x:c r="C278" s="40" t="str">
        <x:v>2 - Associação Lógica II</x:v>
      </x:c>
      <x:c r="D278" s="40" t="str">
        <x:v>Videoaula</x:v>
      </x:c>
      <x:c r="E278" s="40" t="str">
        <x:v>Não iniciado</x:v>
      </x:c>
      <x:c r="F278" s="41" t="str"/>
      <x:c r="G278" s="42" t="str"/>
      <x:c r="H278" s="40" t="str">
        <x:v>Normal</x:v>
      </x:c>
      <x:c r="I278" s="40" t="str">
        <x:f>IF(E278="Concluído","Concluído",IF(A278&lt;TODAY(),"Atrasado",IF(A278=TODAY(),"Hoje","Futuro")))</x:f>
        <x:v>Futuro</x:v>
      </x:c>
      <x:c r="J278" s="43" t="n">
        <x:f>IF(OR(E278="Concluído",A278&gt;=TODAY()),0,TODAY()-A278)</x:f>
        <x:v>0</x:v>
      </x:c>
      <x:c r="K278" s="40" t="str"/>
    </x:row>
    <x:row r="279">
      <x:c r="A279" s="34" t="n">
        <x:v>46286</x:v>
      </x:c>
      <x:c r="B279" s="40" t="str">
        <x:v>Raciocínio Lógico</x:v>
      </x:c>
      <x:c r="C279" s="40" t="str">
        <x:v>3 - Implicação Lógica</x:v>
      </x:c>
      <x:c r="D279" s="40" t="str">
        <x:v>Videoaula</x:v>
      </x:c>
      <x:c r="E279" s="40" t="str">
        <x:v>Não iniciado</x:v>
      </x:c>
      <x:c r="F279" s="41" t="str"/>
      <x:c r="G279" s="42" t="str"/>
      <x:c r="H279" s="40" t="str">
        <x:v>Normal</x:v>
      </x:c>
      <x:c r="I279" s="40" t="str">
        <x:f>IF(E279="Concluído","Concluído",IF(A279&lt;TODAY(),"Atrasado",IF(A279=TODAY(),"Hoje","Futuro")))</x:f>
        <x:v>Futuro</x:v>
      </x:c>
      <x:c r="J279" s="43" t="n">
        <x:f>IF(OR(E279="Concluído",A279&gt;=TODAY()),0,TODAY()-A279)</x:f>
        <x:v>0</x:v>
      </x:c>
      <x:c r="K279" s="40" t="str"/>
    </x:row>
    <x:row r="280">
      <x:c r="A280" s="34" t="n">
        <x:v>46286</x:v>
      </x:c>
      <x:c r="B280" s="40" t="str">
        <x:v>Atualidades e Inteligência Artificial</x:v>
      </x:c>
      <x:c r="C280" s="40" t="str">
        <x:v>18 - Política Mundial</x:v>
      </x:c>
      <x:c r="D280" s="40" t="str">
        <x:v>Videoaula</x:v>
      </x:c>
      <x:c r="E280" s="40" t="str">
        <x:v>Não iniciado</x:v>
      </x:c>
      <x:c r="F280" s="41" t="str"/>
      <x:c r="G280" s="42" t="str"/>
      <x:c r="H280" s="40" t="str">
        <x:v>Normal</x:v>
      </x:c>
      <x:c r="I280" s="40" t="str">
        <x:f>IF(E280="Concluído","Concluído",IF(A280&lt;TODAY(),"Atrasado",IF(A280=TODAY(),"Hoje","Futuro")))</x:f>
        <x:v>Futuro</x:v>
      </x:c>
      <x:c r="J280" s="43" t="n">
        <x:f>IF(OR(E280="Concluído",A280&gt;=TODAY()),0,TODAY()-A280)</x:f>
        <x:v>0</x:v>
      </x:c>
      <x:c r="K280" s="40" t="str"/>
    </x:row>
    <x:row r="281">
      <x:c r="A281" s="34" t="n">
        <x:v>46286</x:v>
      </x:c>
      <x:c r="B281" s="40" t="str">
        <x:v>Atualidades e Inteligência Artificial</x:v>
      </x:c>
      <x:c r="C281" s="40" t="str">
        <x:v>19 - Política Mundial II</x:v>
      </x:c>
      <x:c r="D281" s="40" t="str">
        <x:v>Videoaula</x:v>
      </x:c>
      <x:c r="E281" s="40" t="str">
        <x:v>Não iniciado</x:v>
      </x:c>
      <x:c r="F281" s="41" t="str"/>
      <x:c r="G281" s="42" t="str"/>
      <x:c r="H281" s="40" t="str">
        <x:v>Normal</x:v>
      </x:c>
      <x:c r="I281" s="40" t="str">
        <x:f>IF(E281="Concluído","Concluído",IF(A281&lt;TODAY(),"Atrasado",IF(A281=TODAY(),"Hoje","Futuro")))</x:f>
        <x:v>Futuro</x:v>
      </x:c>
      <x:c r="J281" s="43" t="n">
        <x:f>IF(OR(E281="Concluído",A281&gt;=TODAY()),0,TODAY()-A281)</x:f>
        <x:v>0</x:v>
      </x:c>
      <x:c r="K281" s="40" t="str"/>
    </x:row>
    <x:row r="282">
      <x:c r="A282" s="34" t="n">
        <x:v>46287</x:v>
      </x:c>
      <x:c r="B282" s="40" t="str">
        <x:v>Atualidades e Inteligência Artificial</x:v>
      </x:c>
      <x:c r="C282" s="40" t="str">
        <x:v>19 - Política Mundial II</x:v>
      </x:c>
      <x:c r="D282" s="40" t="str">
        <x:v>Videoaula</x:v>
      </x:c>
      <x:c r="E282" s="40" t="str">
        <x:v>Não iniciado</x:v>
      </x:c>
      <x:c r="F282" s="41" t="str"/>
      <x:c r="G282" s="42" t="str"/>
      <x:c r="H282" s="40" t="str">
        <x:v>Normal</x:v>
      </x:c>
      <x:c r="I282" s="40" t="str">
        <x:f>IF(E282="Concluído","Concluído",IF(A282&lt;TODAY(),"Atrasado",IF(A282=TODAY(),"Hoje","Futuro")))</x:f>
        <x:v>Futuro</x:v>
      </x:c>
      <x:c r="J282" s="43" t="n">
        <x:f>IF(OR(E282="Concluído",A282&gt;=TODAY()),0,TODAY()-A282)</x:f>
        <x:v>0</x:v>
      </x:c>
      <x:c r="K282" s="40" t="str"/>
    </x:row>
    <x:row r="283">
      <x:c r="A283" s="34" t="n">
        <x:v>46287</x:v>
      </x:c>
      <x:c r="B283" s="40" t="str">
        <x:v>Legislação Acerca de Segurança da Informação e Proteção de Dados</x:v>
      </x:c>
      <x:c r="C283" s="40" t="str">
        <x:v>2 - Lei nº 12.965/2014 - Marco Civil da Internet - Art. 5º ao 8º</x:v>
      </x:c>
      <x:c r="D283" s="40" t="str">
        <x:v>Videoaula</x:v>
      </x:c>
      <x:c r="E283" s="40" t="str">
        <x:v>Não iniciado</x:v>
      </x:c>
      <x:c r="F283" s="41" t="str"/>
      <x:c r="G283" s="42" t="str"/>
      <x:c r="H283" s="40" t="str">
        <x:v>Normal</x:v>
      </x:c>
      <x:c r="I283" s="40" t="str">
        <x:f>IF(E283="Concluído","Concluído",IF(A283&lt;TODAY(),"Atrasado",IF(A283=TODAY(),"Hoje","Futuro")))</x:f>
        <x:v>Futuro</x:v>
      </x:c>
      <x:c r="J283" s="43" t="n">
        <x:f>IF(OR(E283="Concluído",A283&gt;=TODAY()),0,TODAY()-A283)</x:f>
        <x:v>0</x:v>
      </x:c>
      <x:c r="K283" s="40" t="str"/>
    </x:row>
    <x:row r="284">
      <x:c r="A284" s="34" t="n">
        <x:v>46287</x:v>
      </x:c>
      <x:c r="B284" s="40" t="str">
        <x:v>Legislação Acerca de Segurança da Informação e Proteção de Dados</x:v>
      </x:c>
      <x:c r="C284" s="40" t="str">
        <x:v>3 - Lei nº 12.965/2014 - Marco Civil da Internet - Art. 9º ao 12</x:v>
      </x:c>
      <x:c r="D284" s="40" t="str">
        <x:v>Videoaula</x:v>
      </x:c>
      <x:c r="E284" s="40" t="str">
        <x:v>Não iniciado</x:v>
      </x:c>
      <x:c r="F284" s="41" t="str"/>
      <x:c r="G284" s="42" t="str"/>
      <x:c r="H284" s="40" t="str">
        <x:v>Normal</x:v>
      </x:c>
      <x:c r="I284" s="40" t="str">
        <x:f>IF(E284="Concluído","Concluído",IF(A284&lt;TODAY(),"Atrasado",IF(A284=TODAY(),"Hoje","Futuro")))</x:f>
        <x:v>Futuro</x:v>
      </x:c>
      <x:c r="J284" s="43" t="n">
        <x:f>IF(OR(E284="Concluído",A284&gt;=TODAY()),0,TODAY()-A284)</x:f>
        <x:v>0</x:v>
      </x:c>
      <x:c r="K284" s="40" t="str"/>
    </x:row>
    <x:row r="285">
      <x:c r="A285" s="34" t="n">
        <x:v>46287</x:v>
      </x:c>
      <x:c r="B285" s="40" t="str">
        <x:v>Gestão e Governança de Tecnologia da Informação</x:v>
      </x:c>
      <x:c r="C285" s="40" t="str">
        <x:v>2 - Instrução Normativa SGD/ME nº 94/2022 - Contratação de Soluções de Tecnologia da Informação e Comunicação - TIC II</x:v>
      </x:c>
      <x:c r="D285" s="40" t="str">
        <x:v>Videoaula</x:v>
      </x:c>
      <x:c r="E285" s="40" t="str">
        <x:v>Não iniciado</x:v>
      </x:c>
      <x:c r="F285" s="41" t="str"/>
      <x:c r="G285" s="42" t="str"/>
      <x:c r="H285" s="40" t="str">
        <x:v>Normal</x:v>
      </x:c>
      <x:c r="I285" s="40" t="str">
        <x:f>IF(E285="Concluído","Concluído",IF(A285&lt;TODAY(),"Atrasado",IF(A285=TODAY(),"Hoje","Futuro")))</x:f>
        <x:v>Futuro</x:v>
      </x:c>
      <x:c r="J285" s="43" t="n">
        <x:f>IF(OR(E285="Concluído",A285&gt;=TODAY()),0,TODAY()-A285)</x:f>
        <x:v>0</x:v>
      </x:c>
      <x:c r="K285" s="40" t="str"/>
    </x:row>
    <x:row r="286">
      <x:c r="A286" s="34" t="n">
        <x:v>46287</x:v>
      </x:c>
      <x:c r="B286" s="40" t="str">
        <x:v>Gestão e Governança de Tecnologia da Informação</x:v>
      </x:c>
      <x:c r="C286" s="40" t="str">
        <x:v>3 - Instrução Normativa SGD/ME nº 94/2022 - Contratação de Soluções de Tecnologia da Informação e Comunicação - TIC III</x:v>
      </x:c>
      <x:c r="D286" s="40" t="str">
        <x:v>Videoaula</x:v>
      </x:c>
      <x:c r="E286" s="40" t="str">
        <x:v>Não iniciado</x:v>
      </x:c>
      <x:c r="F286" s="41" t="str"/>
      <x:c r="G286" s="42" t="str"/>
      <x:c r="H286" s="40" t="str">
        <x:v>Normal</x:v>
      </x:c>
      <x:c r="I286" s="40" t="str">
        <x:f>IF(E286="Concluído","Concluído",IF(A286&lt;TODAY(),"Atrasado",IF(A286=TODAY(),"Hoje","Futuro")))</x:f>
        <x:v>Futuro</x:v>
      </x:c>
      <x:c r="J286" s="43" t="n">
        <x:f>IF(OR(E286="Concluído",A286&gt;=TODAY()),0,TODAY()-A286)</x:f>
        <x:v>0</x:v>
      </x:c>
      <x:c r="K286" s="40" t="str"/>
    </x:row>
    <x:row r="287">
      <x:c r="A287" s="34" t="n">
        <x:v>46288</x:v>
      </x:c>
      <x:c r="B287" s="40" t="str">
        <x:v>Gestão e Governança de Tecnologia da Informação</x:v>
      </x:c>
      <x:c r="C287" s="40" t="str">
        <x:v>3 - Instrução Normativa SGD/ME nº 94/2022 - Contratação de Soluções de Tecnologia da Informação e Comunicação - TIC III</x:v>
      </x:c>
      <x:c r="D287" s="40" t="str">
        <x:v>Videoaula</x:v>
      </x:c>
      <x:c r="E287" s="40" t="str">
        <x:v>Não iniciado</x:v>
      </x:c>
      <x:c r="F287" s="41" t="str"/>
      <x:c r="G287" s="42" t="str"/>
      <x:c r="H287" s="40" t="str">
        <x:v>Normal</x:v>
      </x:c>
      <x:c r="I287" s="40" t="str">
        <x:f>IF(E287="Concluído","Concluído",IF(A287&lt;TODAY(),"Atrasado",IF(A287=TODAY(),"Hoje","Futuro")))</x:f>
        <x:v>Futuro</x:v>
      </x:c>
      <x:c r="J287" s="43" t="n">
        <x:f>IF(OR(E287="Concluído",A287&gt;=TODAY()),0,TODAY()-A287)</x:f>
        <x:v>0</x:v>
      </x:c>
      <x:c r="K287" s="40" t="str"/>
    </x:row>
    <x:row r="288">
      <x:c r="A288" s="34" t="n">
        <x:v>46288</x:v>
      </x:c>
      <x:c r="B288" s="40" t="str">
        <x:v>Banco de Dados</x:v>
      </x:c>
      <x:c r="C288" s="40" t="str">
        <x:v>4 - Banco de Dados - Evolução dos BDS</x:v>
      </x:c>
      <x:c r="D288" s="40" t="str">
        <x:v>Videoaula</x:v>
      </x:c>
      <x:c r="E288" s="40" t="str">
        <x:v>Não iniciado</x:v>
      </x:c>
      <x:c r="F288" s="41" t="str"/>
      <x:c r="G288" s="42" t="str"/>
      <x:c r="H288" s="40" t="str">
        <x:v>Normal</x:v>
      </x:c>
      <x:c r="I288" s="40" t="str">
        <x:f>IF(E288="Concluído","Concluído",IF(A288&lt;TODAY(),"Atrasado",IF(A288=TODAY(),"Hoje","Futuro")))</x:f>
        <x:v>Futuro</x:v>
      </x:c>
      <x:c r="J288" s="43" t="n">
        <x:f>IF(OR(E288="Concluído",A288&gt;=TODAY()),0,TODAY()-A288)</x:f>
        <x:v>0</x:v>
      </x:c>
      <x:c r="K288" s="40" t="str"/>
    </x:row>
    <x:row r="289">
      <x:c r="A289" s="34" t="n">
        <x:v>46288</x:v>
      </x:c>
      <x:c r="B289" s="40" t="str">
        <x:v>Banco de Dados</x:v>
      </x:c>
      <x:c r="C289" s="40" t="str">
        <x:v>5 - Banco de Dados - MER (Modelo Entidade Relacionamento)</x:v>
      </x:c>
      <x:c r="D289" s="40" t="str">
        <x:v>Videoaula</x:v>
      </x:c>
      <x:c r="E289" s="40" t="str">
        <x:v>Não iniciado</x:v>
      </x:c>
      <x:c r="F289" s="41" t="str"/>
      <x:c r="G289" s="42" t="str"/>
      <x:c r="H289" s="40" t="str">
        <x:v>Normal</x:v>
      </x:c>
      <x:c r="I289" s="40" t="str">
        <x:f>IF(E289="Concluído","Concluído",IF(A289&lt;TODAY(),"Atrasado",IF(A289=TODAY(),"Hoje","Futuro")))</x:f>
        <x:v>Futuro</x:v>
      </x:c>
      <x:c r="J289" s="43" t="n">
        <x:f>IF(OR(E289="Concluído",A289&gt;=TODAY()),0,TODAY()-A289)</x:f>
        <x:v>0</x:v>
      </x:c>
      <x:c r="K289" s="40" t="str"/>
    </x:row>
    <x:row r="290">
      <x:c r="A290" s="34" t="n">
        <x:v>46288</x:v>
      </x:c>
      <x:c r="B290" s="40" t="str">
        <x:v>Língua Portuguesa</x:v>
      </x:c>
      <x:c r="C290" s="40" t="str">
        <x:v>1 - Noções de Fonética, Acentuação Gráfica e Ortografia Oficial</x:v>
      </x:c>
      <x:c r="D290" s="40" t="str">
        <x:v>Pdf</x:v>
      </x:c>
      <x:c r="E290" s="40" t="str">
        <x:v>Não iniciado</x:v>
      </x:c>
      <x:c r="F290" s="41" t="str"/>
      <x:c r="G290" s="42" t="str"/>
      <x:c r="H290" s="40" t="str">
        <x:v>Normal</x:v>
      </x:c>
      <x:c r="I290" s="40" t="str">
        <x:f>IF(E290="Concluído","Concluído",IF(A290&lt;TODAY(),"Atrasado",IF(A290=TODAY(),"Hoje","Futuro")))</x:f>
        <x:v>Futuro</x:v>
      </x:c>
      <x:c r="J290" s="43" t="n">
        <x:f>IF(OR(E290="Concluído",A290&gt;=TODAY()),0,TODAY()-A290)</x:f>
        <x:v>0</x:v>
      </x:c>
      <x:c r="K290" s="40" t="str"/>
    </x:row>
    <x:row r="291">
      <x:c r="A291" s="34" t="n">
        <x:v>46289</x:v>
      </x:c>
      <x:c r="B291" s="40" t="str">
        <x:v>Língua Portuguesa</x:v>
      </x:c>
      <x:c r="C291" s="40" t="str">
        <x:v>1 - Noções de Fonética, Acentuação Gráfica e Ortografia Oficial</x:v>
      </x:c>
      <x:c r="D291" s="40" t="str">
        <x:v>Pdf</x:v>
      </x:c>
      <x:c r="E291" s="40" t="str">
        <x:v>Não iniciado</x:v>
      </x:c>
      <x:c r="F291" s="41" t="str"/>
      <x:c r="G291" s="42" t="str"/>
      <x:c r="H291" s="40" t="str">
        <x:v>Normal</x:v>
      </x:c>
      <x:c r="I291" s="40" t="str">
        <x:f>IF(E291="Concluído","Concluído",IF(A291&lt;TODAY(),"Atrasado",IF(A291=TODAY(),"Hoje","Futuro")))</x:f>
        <x:v>Futuro</x:v>
      </x:c>
      <x:c r="J291" s="43" t="n">
        <x:f>IF(OR(E291="Concluído",A291&gt;=TODAY()),0,TODAY()-A291)</x:f>
        <x:v>0</x:v>
      </x:c>
      <x:c r="K291" s="40" t="str"/>
    </x:row>
    <x:row r="292">
      <x:c r="A292" s="34" t="n">
        <x:v>46290</x:v>
      </x:c>
      <x:c r="B292" s="40" t="str">
        <x:v>Língua Portuguesa</x:v>
      </x:c>
      <x:c r="C292" s="40" t="str">
        <x:v>1 - Noções de Fonética, Acentuação Gráfica e Ortografia Oficial</x:v>
      </x:c>
      <x:c r="D292" s="40" t="str">
        <x:v>Pdf</x:v>
      </x:c>
      <x:c r="E292" s="40" t="str">
        <x:v>Não iniciado</x:v>
      </x:c>
      <x:c r="F292" s="41" t="str"/>
      <x:c r="G292" s="42" t="str"/>
      <x:c r="H292" s="40" t="str">
        <x:v>Normal</x:v>
      </x:c>
      <x:c r="I292" s="40" t="str">
        <x:f>IF(E292="Concluído","Concluído",IF(A292&lt;TODAY(),"Atrasado",IF(A292=TODAY(),"Hoje","Futuro")))</x:f>
        <x:v>Futuro</x:v>
      </x:c>
      <x:c r="J292" s="43" t="n">
        <x:f>IF(OR(E292="Concluído",A292&gt;=TODAY()),0,TODAY()-A292)</x:f>
        <x:v>0</x:v>
      </x:c>
      <x:c r="K292" s="40" t="str"/>
    </x:row>
    <x:row r="293">
      <x:c r="A293" s="34" t="n">
        <x:v>46290</x:v>
      </x:c>
      <x:c r="B293" s="40" t="str">
        <x:v>Legislação Acerca de Segurança da Informação e Proteção de Dados</x:v>
      </x:c>
      <x:c r="C293" s="40" t="str">
        <x:v>3 - Lei n. 13.709/2018 – Lei Geral de Proteção de Dados – Parte III</x:v>
      </x:c>
      <x:c r="D293" s="40" t="str">
        <x:v>Pdf</x:v>
      </x:c>
      <x:c r="E293" s="40" t="str">
        <x:v>Não iniciado</x:v>
      </x:c>
      <x:c r="F293" s="41" t="str"/>
      <x:c r="G293" s="42" t="str"/>
      <x:c r="H293" s="40" t="str">
        <x:v>Normal</x:v>
      </x:c>
      <x:c r="I293" s="40" t="str">
        <x:f>IF(E293="Concluído","Concluído",IF(A293&lt;TODAY(),"Atrasado",IF(A293=TODAY(),"Hoje","Futuro")))</x:f>
        <x:v>Futuro</x:v>
      </x:c>
      <x:c r="J293" s="43" t="n">
        <x:f>IF(OR(E293="Concluído",A293&gt;=TODAY()),0,TODAY()-A293)</x:f>
        <x:v>0</x:v>
      </x:c>
      <x:c r="K293" s="40" t="str"/>
    </x:row>
    <x:row r="294">
      <x:c r="A294" s="34" t="n">
        <x:v>46290</x:v>
      </x:c>
      <x:c r="B294" s="40" t="str">
        <x:v>Inteligência Emocional</x:v>
      </x:c>
      <x:c r="C294" s="40" t="str">
        <x:v>10 - ELO 10: Sou Imperfeita, e Você? A Coragem de Ser Imperfeito</x:v>
      </x:c>
      <x:c r="D294" s="40" t="str">
        <x:v>Pdf</x:v>
      </x:c>
      <x:c r="E294" s="40" t="str">
        <x:v>Não iniciado</x:v>
      </x:c>
      <x:c r="F294" s="41" t="str"/>
      <x:c r="G294" s="42" t="str"/>
      <x:c r="H294" s="40" t="str">
        <x:v>Normal</x:v>
      </x:c>
      <x:c r="I294" s="40" t="str">
        <x:f>IF(E294="Concluído","Concluído",IF(A294&lt;TODAY(),"Atrasado",IF(A294=TODAY(),"Hoje","Futuro")))</x:f>
        <x:v>Futuro</x:v>
      </x:c>
      <x:c r="J294" s="43" t="n">
        <x:f>IF(OR(E294="Concluído",A294&gt;=TODAY()),0,TODAY()-A294)</x:f>
        <x:v>0</x:v>
      </x:c>
      <x:c r="K294" s="40" t="str"/>
    </x:row>
    <x:row r="295">
      <x:c r="A295" s="34" t="n">
        <x:v>46291</x:v>
      </x:c>
      <x:c r="B295" s="40" t="str">
        <x:v>Inteligência Emocional</x:v>
      </x:c>
      <x:c r="C295" s="40" t="str">
        <x:v>10 - ELO 10: Sou Imperfeita, e Você? A Coragem de Ser Imperfeito</x:v>
      </x:c>
      <x:c r="D295" s="40" t="str">
        <x:v>Pdf</x:v>
      </x:c>
      <x:c r="E295" s="40" t="str">
        <x:v>Não iniciado</x:v>
      </x:c>
      <x:c r="F295" s="41" t="str"/>
      <x:c r="G295" s="42" t="str"/>
      <x:c r="H295" s="40" t="str">
        <x:v>Normal</x:v>
      </x:c>
      <x:c r="I295" s="40" t="str">
        <x:f>IF(E295="Concluído","Concluído",IF(A295&lt;TODAY(),"Atrasado",IF(A295=TODAY(),"Hoje","Futuro")))</x:f>
        <x:v>Futuro</x:v>
      </x:c>
      <x:c r="J295" s="43" t="n">
        <x:f>IF(OR(E295="Concluído",A295&gt;=TODAY()),0,TODAY()-A295)</x:f>
        <x:v>0</x:v>
      </x:c>
      <x:c r="K295" s="40" t="str"/>
    </x:row>
    <x:row r="296">
      <x:c r="A296" s="34" t="n">
        <x:v>46291</x:v>
      </x:c>
      <x:c r="B296" s="40" t="str">
        <x:v>Língua Portuguesa</x:v>
      </x:c>
      <x:c r="C296" s="40" t="str">
        <x:v>20 - Resolução da Prova - TCE PI/Auditor/2025</x:v>
      </x:c>
      <x:c r="D296" s="40" t="str">
        <x:v>Videoaula</x:v>
      </x:c>
      <x:c r="E296" s="40" t="str">
        <x:v>Não iniciado</x:v>
      </x:c>
      <x:c r="F296" s="41" t="str"/>
      <x:c r="G296" s="42" t="str"/>
      <x:c r="H296" s="40" t="str">
        <x:v>Normal</x:v>
      </x:c>
      <x:c r="I296" s="40" t="str">
        <x:f>IF(E296="Concluído","Concluído",IF(A296&lt;TODAY(),"Atrasado",IF(A296=TODAY(),"Hoje","Futuro")))</x:f>
        <x:v>Futuro</x:v>
      </x:c>
      <x:c r="J296" s="43" t="n">
        <x:f>IF(OR(E296="Concluído",A296&gt;=TODAY()),0,TODAY()-A296)</x:f>
        <x:v>0</x:v>
      </x:c>
      <x:c r="K296" s="40" t="str"/>
    </x:row>
    <x:row r="297">
      <x:c r="A297" s="34" t="n">
        <x:v>46291</x:v>
      </x:c>
      <x:c r="B297" s="40" t="str">
        <x:v>Língua Portuguesa</x:v>
      </x:c>
      <x:c r="C297" s="40" t="str">
        <x:v>21 - Resolução de Prova do TJ SC</x:v>
      </x:c>
      <x:c r="D297" s="40" t="str">
        <x:v>Videoaula</x:v>
      </x:c>
      <x:c r="E297" s="40" t="str">
        <x:v>Não iniciado</x:v>
      </x:c>
      <x:c r="F297" s="41" t="str"/>
      <x:c r="G297" s="42" t="str"/>
      <x:c r="H297" s="40" t="str">
        <x:v>Normal</x:v>
      </x:c>
      <x:c r="I297" s="40" t="str">
        <x:f>IF(E297="Concluído","Concluído",IF(A297&lt;TODAY(),"Atrasado",IF(A297=TODAY(),"Hoje","Futuro")))</x:f>
        <x:v>Futuro</x:v>
      </x:c>
      <x:c r="J297" s="43" t="n">
        <x:f>IF(OR(E297="Concluído",A297&gt;=TODAY()),0,TODAY()-A297)</x:f>
        <x:v>0</x:v>
      </x:c>
      <x:c r="K297" s="40" t="str"/>
    </x:row>
    <x:row r="298">
      <x:c r="A298" s="34" t="n">
        <x:v>46291</x:v>
      </x:c>
      <x:c r="B298" s="40" t="str">
        <x:v>Língua Inglesa</x:v>
      </x:c>
      <x:c r="C298" s="40" t="str">
        <x:v>20 - Língua Inglesa - Global Plastic Treaty III</x:v>
      </x:c>
      <x:c r="D298" s="40" t="str">
        <x:v>Videoaula</x:v>
      </x:c>
      <x:c r="E298" s="40" t="str">
        <x:v>Não iniciado</x:v>
      </x:c>
      <x:c r="F298" s="41" t="str"/>
      <x:c r="G298" s="42" t="str"/>
      <x:c r="H298" s="40" t="str">
        <x:v>Normal</x:v>
      </x:c>
      <x:c r="I298" s="40" t="str">
        <x:f>IF(E298="Concluído","Concluído",IF(A298&lt;TODAY(),"Atrasado",IF(A298=TODAY(),"Hoje","Futuro")))</x:f>
        <x:v>Futuro</x:v>
      </x:c>
      <x:c r="J298" s="43" t="n">
        <x:f>IF(OR(E298="Concluído",A298&gt;=TODAY()),0,TODAY()-A298)</x:f>
        <x:v>0</x:v>
      </x:c>
      <x:c r="K298" s="40" t="str"/>
    </x:row>
    <x:row r="299">
      <x:c r="A299" s="34" t="n">
        <x:v>46292</x:v>
      </x:c>
      <x:c r="B299" s="40" t="str">
        <x:v>Língua Inglesa</x:v>
      </x:c>
      <x:c r="C299" s="40" t="str">
        <x:v>20 - Língua Inglesa - Global Plastic Treaty III</x:v>
      </x:c>
      <x:c r="D299" s="40" t="str">
        <x:v>Videoaula</x:v>
      </x:c>
      <x:c r="E299" s="40" t="str">
        <x:v>Não iniciado</x:v>
      </x:c>
      <x:c r="F299" s="41" t="str"/>
      <x:c r="G299" s="42" t="str"/>
      <x:c r="H299" s="40" t="str">
        <x:v>Normal</x:v>
      </x:c>
      <x:c r="I299" s="40" t="str">
        <x:f>IF(E299="Concluído","Concluído",IF(A299&lt;TODAY(),"Atrasado",IF(A299=TODAY(),"Hoje","Futuro")))</x:f>
        <x:v>Futuro</x:v>
      </x:c>
      <x:c r="J299" s="43" t="n">
        <x:f>IF(OR(E299="Concluído",A299&gt;=TODAY()),0,TODAY()-A299)</x:f>
        <x:v>0</x:v>
      </x:c>
      <x:c r="K299" s="40" t="str"/>
    </x:row>
    <x:row r="300">
      <x:c r="A300" s="34" t="n">
        <x:v>46292</x:v>
      </x:c>
      <x:c r="B300" s="40" t="str">
        <x:v>Língua Inglesa</x:v>
      </x:c>
      <x:c r="C300" s="40" t="str">
        <x:v>21 - Língua Inglesa - Global Plastic Treaty IV</x:v>
      </x:c>
      <x:c r="D300" s="40" t="str">
        <x:v>Videoaula</x:v>
      </x:c>
      <x:c r="E300" s="40" t="str">
        <x:v>Não iniciado</x:v>
      </x:c>
      <x:c r="F300" s="41" t="str"/>
      <x:c r="G300" s="42" t="str"/>
      <x:c r="H300" s="40" t="str">
        <x:v>Normal</x:v>
      </x:c>
      <x:c r="I300" s="40" t="str">
        <x:f>IF(E300="Concluído","Concluído",IF(A300&lt;TODAY(),"Atrasado",IF(A300=TODAY(),"Hoje","Futuro")))</x:f>
        <x:v>Futuro</x:v>
      </x:c>
      <x:c r="J300" s="43" t="n">
        <x:f>IF(OR(E300="Concluído",A300&gt;=TODAY()),0,TODAY()-A300)</x:f>
        <x:v>0</x:v>
      </x:c>
      <x:c r="K300" s="40" t="str"/>
    </x:row>
    <x:row r="301">
      <x:c r="A301" s="34" t="n">
        <x:v>46292</x:v>
      </x:c>
      <x:c r="B301" s="40" t="str">
        <x:v>Raciocínio Lógico</x:v>
      </x:c>
      <x:c r="C301" s="40" t="str">
        <x:v>4 - Implicação Lógica II</x:v>
      </x:c>
      <x:c r="D301" s="40" t="str">
        <x:v>Videoaula</x:v>
      </x:c>
      <x:c r="E301" s="40" t="str">
        <x:v>Não iniciado</x:v>
      </x:c>
      <x:c r="F301" s="41" t="str"/>
      <x:c r="G301" s="42" t="str"/>
      <x:c r="H301" s="40" t="str">
        <x:v>Normal</x:v>
      </x:c>
      <x:c r="I301" s="40" t="str">
        <x:f>IF(E301="Concluído","Concluído",IF(A301&lt;TODAY(),"Atrasado",IF(A301=TODAY(),"Hoje","Futuro")))</x:f>
        <x:v>Futuro</x:v>
      </x:c>
      <x:c r="J301" s="43" t="n">
        <x:f>IF(OR(E301="Concluído",A301&gt;=TODAY()),0,TODAY()-A301)</x:f>
        <x:v>0</x:v>
      </x:c>
      <x:c r="K301" s="40" t="str"/>
    </x:row>
    <x:row r="302">
      <x:c r="A302" s="34" t="n">
        <x:v>46292</x:v>
      </x:c>
      <x:c r="B302" s="40" t="str">
        <x:v>Raciocínio Lógico</x:v>
      </x:c>
      <x:c r="C302" s="40" t="str">
        <x:v>5 - Verdades e Mentiras</x:v>
      </x:c>
      <x:c r="D302" s="40" t="str">
        <x:v>Videoaula</x:v>
      </x:c>
      <x:c r="E302" s="40" t="str">
        <x:v>Não iniciado</x:v>
      </x:c>
      <x:c r="F302" s="41" t="str"/>
      <x:c r="G302" s="42" t="str"/>
      <x:c r="H302" s="40" t="str">
        <x:v>Normal</x:v>
      </x:c>
      <x:c r="I302" s="40" t="str">
        <x:f>IF(E302="Concluído","Concluído",IF(A302&lt;TODAY(),"Atrasado",IF(A302=TODAY(),"Hoje","Futuro")))</x:f>
        <x:v>Futuro</x:v>
      </x:c>
      <x:c r="J302" s="43" t="n">
        <x:f>IF(OR(E302="Concluído",A302&gt;=TODAY()),0,TODAY()-A302)</x:f>
        <x:v>0</x:v>
      </x:c>
      <x:c r="K302" s="40" t="str"/>
    </x:row>
    <x:row r="303">
      <x:c r="A303" s="34" t="n">
        <x:v>46292</x:v>
      </x:c>
      <x:c r="B303" s="40" t="str">
        <x:v>Revisão</x:v>
      </x:c>
      <x:c r="C303" s="40" t="str">
        <x:v>Revisão</x:v>
      </x:c>
      <x:c r="D303" s="40" t="str">
        <x:v>Revisao</x:v>
      </x:c>
      <x:c r="E303" s="40" t="str">
        <x:v>Não iniciado</x:v>
      </x:c>
      <x:c r="F303" s="41" t="str"/>
      <x:c r="G303" s="42" t="str"/>
      <x:c r="H303" s="40" t="str">
        <x:v>Normal</x:v>
      </x:c>
      <x:c r="I303" s="40" t="str">
        <x:f>IF(E303="Concluído","Concluído",IF(A303&lt;TODAY(),"Atrasado",IF(A303=TODAY(),"Hoje","Futuro")))</x:f>
        <x:v>Futuro</x:v>
      </x:c>
      <x:c r="J303" s="43" t="n">
        <x:f>IF(OR(E303="Concluído",A303&gt;=TODAY()),0,TODAY()-A303)</x:f>
        <x:v>0</x:v>
      </x:c>
      <x:c r="K303" s="40" t="str"/>
    </x:row>
    <x:row r="304">
      <x:c r="A304" s="34" t="n">
        <x:v>46293</x:v>
      </x:c>
      <x:c r="B304" s="40" t="str">
        <x:v>Raciocínio Lógico</x:v>
      </x:c>
      <x:c r="C304" s="40" t="str">
        <x:v>5 - Verdades e Mentiras</x:v>
      </x:c>
      <x:c r="D304" s="40" t="str">
        <x:v>Videoaula</x:v>
      </x:c>
      <x:c r="E304" s="40" t="str">
        <x:v>Não iniciado</x:v>
      </x:c>
      <x:c r="F304" s="41" t="str"/>
      <x:c r="G304" s="42" t="str"/>
      <x:c r="H304" s="40" t="str">
        <x:v>Normal</x:v>
      </x:c>
      <x:c r="I304" s="40" t="str">
        <x:f>IF(E304="Concluído","Concluído",IF(A304&lt;TODAY(),"Atrasado",IF(A304=TODAY(),"Hoje","Futuro")))</x:f>
        <x:v>Futuro</x:v>
      </x:c>
      <x:c r="J304" s="43" t="n">
        <x:f>IF(OR(E304="Concluído",A304&gt;=TODAY()),0,TODAY()-A304)</x:f>
        <x:v>0</x:v>
      </x:c>
      <x:c r="K304" s="40" t="str"/>
    </x:row>
    <x:row r="305">
      <x:c r="A305" s="34" t="n">
        <x:v>46293</x:v>
      </x:c>
      <x:c r="B305" s="40" t="str">
        <x:v>Atualidades e Inteligência Artificial</x:v>
      </x:c>
      <x:c r="C305" s="40" t="str">
        <x:v>20 - Política Mundial III</x:v>
      </x:c>
      <x:c r="D305" s="40" t="str">
        <x:v>Videoaula</x:v>
      </x:c>
      <x:c r="E305" s="40" t="str">
        <x:v>Não iniciado</x:v>
      </x:c>
      <x:c r="F305" s="41" t="str"/>
      <x:c r="G305" s="42" t="str"/>
      <x:c r="H305" s="40" t="str">
        <x:v>Normal</x:v>
      </x:c>
      <x:c r="I305" s="40" t="str">
        <x:f>IF(E305="Concluído","Concluído",IF(A305&lt;TODAY(),"Atrasado",IF(A305=TODAY(),"Hoje","Futuro")))</x:f>
        <x:v>Futuro</x:v>
      </x:c>
      <x:c r="J305" s="43" t="n">
        <x:f>IF(OR(E305="Concluído",A305&gt;=TODAY()),0,TODAY()-A305)</x:f>
        <x:v>0</x:v>
      </x:c>
      <x:c r="K305" s="40" t="str"/>
    </x:row>
    <x:row r="306">
      <x:c r="A306" s="34" t="n">
        <x:v>46293</x:v>
      </x:c>
      <x:c r="B306" s="40" t="str">
        <x:v>Atualidades e Inteligência Artificial</x:v>
      </x:c>
      <x:c r="C306" s="40" t="str">
        <x:v>21 - Resolução de Questões - Mundo</x:v>
      </x:c>
      <x:c r="D306" s="40" t="str">
        <x:v>Videoaula</x:v>
      </x:c>
      <x:c r="E306" s="40" t="str">
        <x:v>Não iniciado</x:v>
      </x:c>
      <x:c r="F306" s="41" t="str"/>
      <x:c r="G306" s="42" t="str"/>
      <x:c r="H306" s="40" t="str">
        <x:v>Normal</x:v>
      </x:c>
      <x:c r="I306" s="40" t="str">
        <x:f>IF(E306="Concluído","Concluído",IF(A306&lt;TODAY(),"Atrasado",IF(A306=TODAY(),"Hoje","Futuro")))</x:f>
        <x:v>Futuro</x:v>
      </x:c>
      <x:c r="J306" s="43" t="n">
        <x:f>IF(OR(E306="Concluído",A306&gt;=TODAY()),0,TODAY()-A306)</x:f>
        <x:v>0</x:v>
      </x:c>
      <x:c r="K306" s="40" t="str"/>
    </x:row>
    <x:row r="307">
      <x:c r="A307" s="34" t="n">
        <x:v>46293</x:v>
      </x:c>
      <x:c r="B307" s="40" t="str">
        <x:v>Legislação Acerca de Segurança da Informação e Proteção de Dados</x:v>
      </x:c>
      <x:c r="C307" s="40" t="str">
        <x:v>4 - Lei nº 12.965/2014 - Marco Civil da Internet - Art. 13 ao 21</x:v>
      </x:c>
      <x:c r="D307" s="40" t="str">
        <x:v>Videoaula</x:v>
      </x:c>
      <x:c r="E307" s="40" t="str">
        <x:v>Não iniciado</x:v>
      </x:c>
      <x:c r="F307" s="41" t="str"/>
      <x:c r="G307" s="42" t="str"/>
      <x:c r="H307" s="40" t="str">
        <x:v>Normal</x:v>
      </x:c>
      <x:c r="I307" s="40" t="str">
        <x:f>IF(E307="Concluído","Concluído",IF(A307&lt;TODAY(),"Atrasado",IF(A307=TODAY(),"Hoje","Futuro")))</x:f>
        <x:v>Futuro</x:v>
      </x:c>
      <x:c r="J307" s="43" t="n">
        <x:f>IF(OR(E307="Concluído",A307&gt;=TODAY()),0,TODAY()-A307)</x:f>
        <x:v>0</x:v>
      </x:c>
      <x:c r="K307" s="40" t="str"/>
    </x:row>
    <x:row r="308">
      <x:c r="A308" s="34" t="n">
        <x:v>46294</x:v>
      </x:c>
      <x:c r="B308" s="40" t="str">
        <x:v>Legislação Acerca de Segurança da Informação e Proteção de Dados</x:v>
      </x:c>
      <x:c r="C308" s="40" t="str">
        <x:v>4 - Lei nº 12.965/2014 - Marco Civil da Internet - Art. 13 ao 21</x:v>
      </x:c>
      <x:c r="D308" s="40" t="str">
        <x:v>Videoaula</x:v>
      </x:c>
      <x:c r="E308" s="40" t="str">
        <x:v>Não iniciado</x:v>
      </x:c>
      <x:c r="F308" s="41" t="str"/>
      <x:c r="G308" s="42" t="str"/>
      <x:c r="H308" s="40" t="str">
        <x:v>Normal</x:v>
      </x:c>
      <x:c r="I308" s="40" t="str">
        <x:f>IF(E308="Concluído","Concluído",IF(A308&lt;TODAY(),"Atrasado",IF(A308=TODAY(),"Hoje","Futuro")))</x:f>
        <x:v>Futuro</x:v>
      </x:c>
      <x:c r="J308" s="43" t="n">
        <x:f>IF(OR(E308="Concluído",A308&gt;=TODAY()),0,TODAY()-A308)</x:f>
        <x:v>0</x:v>
      </x:c>
      <x:c r="K308" s="40" t="str"/>
    </x:row>
    <x:row r="309">
      <x:c r="A309" s="34" t="n">
        <x:v>46294</x:v>
      </x:c>
      <x:c r="B309" s="40" t="str">
        <x:v>Legislação Acerca de Segurança da Informação e Proteção de Dados</x:v>
      </x:c>
      <x:c r="C309" s="40" t="str">
        <x:v>5 - Lei nº 12.965/2014 - Marco Civil da Internet - Art. 22 ao 32</x:v>
      </x:c>
      <x:c r="D309" s="40" t="str">
        <x:v>Videoaula</x:v>
      </x:c>
      <x:c r="E309" s="40" t="str">
        <x:v>Não iniciado</x:v>
      </x:c>
      <x:c r="F309" s="41" t="str"/>
      <x:c r="G309" s="42" t="str"/>
      <x:c r="H309" s="40" t="str">
        <x:v>Normal</x:v>
      </x:c>
      <x:c r="I309" s="40" t="str">
        <x:f>IF(E309="Concluído","Concluído",IF(A309&lt;TODAY(),"Atrasado",IF(A309=TODAY(),"Hoje","Futuro")))</x:f>
        <x:v>Futuro</x:v>
      </x:c>
      <x:c r="J309" s="43" t="n">
        <x:f>IF(OR(E309="Concluído",A309&gt;=TODAY()),0,TODAY()-A309)</x:f>
        <x:v>0</x:v>
      </x:c>
      <x:c r="K309" s="40" t="str"/>
    </x:row>
    <x:row r="310">
      <x:c r="A310" s="34" t="n">
        <x:v>46294</x:v>
      </x:c>
      <x:c r="B310" s="40" t="str">
        <x:v>Gestão e Governança de Tecnologia da Informação</x:v>
      </x:c>
      <x:c r="C310" s="40" t="str">
        <x:v>4 - Instrução Normativa SGD/ME nº 94/2022 - Contratação de Soluções de Tecnologia da Informação e Comunicação - TIC IV</x:v>
      </x:c>
      <x:c r="D310" s="40" t="str">
        <x:v>Videoaula</x:v>
      </x:c>
      <x:c r="E310" s="40" t="str">
        <x:v>Não iniciado</x:v>
      </x:c>
      <x:c r="F310" s="41" t="str"/>
      <x:c r="G310" s="42" t="str"/>
      <x:c r="H310" s="40" t="str">
        <x:v>Normal</x:v>
      </x:c>
      <x:c r="I310" s="40" t="str">
        <x:f>IF(E310="Concluído","Concluído",IF(A310&lt;TODAY(),"Atrasado",IF(A310=TODAY(),"Hoje","Futuro")))</x:f>
        <x:v>Futuro</x:v>
      </x:c>
      <x:c r="J310" s="43" t="n">
        <x:f>IF(OR(E310="Concluído",A310&gt;=TODAY()),0,TODAY()-A310)</x:f>
        <x:v>0</x:v>
      </x:c>
      <x:c r="K310" s="40" t="str"/>
    </x:row>
    <x:row r="311">
      <x:c r="A311" s="34" t="n">
        <x:v>46294</x:v>
      </x:c>
      <x:c r="B311" s="40" t="str">
        <x:v>Gestão e Governança de Tecnologia da Informação</x:v>
      </x:c>
      <x:c r="C311" s="40" t="str">
        <x:v>5 - Instrução Normativa SGD/ME nº 94/2022 - Contratação de Soluções de Tecnologia da Informação e Comunicação - TIC V</x:v>
      </x:c>
      <x:c r="D311" s="40" t="str">
        <x:v>Videoaula</x:v>
      </x:c>
      <x:c r="E311" s="40" t="str">
        <x:v>Não iniciado</x:v>
      </x:c>
      <x:c r="F311" s="41" t="str"/>
      <x:c r="G311" s="42" t="str"/>
      <x:c r="H311" s="40" t="str">
        <x:v>Normal</x:v>
      </x:c>
      <x:c r="I311" s="40" t="str">
        <x:f>IF(E311="Concluído","Concluído",IF(A311&lt;TODAY(),"Atrasado",IF(A311=TODAY(),"Hoje","Futuro")))</x:f>
        <x:v>Futuro</x:v>
      </x:c>
      <x:c r="J311" s="43" t="n">
        <x:f>IF(OR(E311="Concluído",A311&gt;=TODAY()),0,TODAY()-A311)</x:f>
        <x:v>0</x:v>
      </x:c>
      <x:c r="K311" s="40" t="str"/>
    </x:row>
    <x:row r="312">
      <x:c r="A312" s="34" t="n">
        <x:v>46294</x:v>
      </x:c>
      <x:c r="B312" s="40" t="str">
        <x:v>Banco de Dados</x:v>
      </x:c>
      <x:c r="C312" s="40" t="str">
        <x:v>6 - Banco de Dados - MER: Relacionamento</x:v>
      </x:c>
      <x:c r="D312" s="40" t="str">
        <x:v>Videoaula</x:v>
      </x:c>
      <x:c r="E312" s="40" t="str">
        <x:v>Não iniciado</x:v>
      </x:c>
      <x:c r="F312" s="41" t="str"/>
      <x:c r="G312" s="42" t="str"/>
      <x:c r="H312" s="40" t="str">
        <x:v>Normal</x:v>
      </x:c>
      <x:c r="I312" s="40" t="str">
        <x:f>IF(E312="Concluído","Concluído",IF(A312&lt;TODAY(),"Atrasado",IF(A312=TODAY(),"Hoje","Futuro")))</x:f>
        <x:v>Futuro</x:v>
      </x:c>
      <x:c r="J312" s="43" t="n">
        <x:f>IF(OR(E312="Concluído",A312&gt;=TODAY()),0,TODAY()-A312)</x:f>
        <x:v>0</x:v>
      </x:c>
      <x:c r="K312" s="40" t="str"/>
    </x:row>
    <x:row r="313">
      <x:c r="A313" s="34" t="n">
        <x:v>46295</x:v>
      </x:c>
      <x:c r="B313" s="40" t="str">
        <x:v>Banco de Dados</x:v>
      </x:c>
      <x:c r="C313" s="40" t="str">
        <x:v>6 - Banco de Dados - MER: Relacionamento</x:v>
      </x:c>
      <x:c r="D313" s="40" t="str">
        <x:v>Videoaula</x:v>
      </x:c>
      <x:c r="E313" s="40" t="str">
        <x:v>Não iniciado</x:v>
      </x:c>
      <x:c r="F313" s="41" t="str"/>
      <x:c r="G313" s="42" t="str"/>
      <x:c r="H313" s="40" t="str">
        <x:v>Normal</x:v>
      </x:c>
      <x:c r="I313" s="40" t="str">
        <x:f>IF(E313="Concluído","Concluído",IF(A313&lt;TODAY(),"Atrasado",IF(A313=TODAY(),"Hoje","Futuro")))</x:f>
        <x:v>Futuro</x:v>
      </x:c>
      <x:c r="J313" s="43" t="n">
        <x:f>IF(OR(E313="Concluído",A313&gt;=TODAY()),0,TODAY()-A313)</x:f>
        <x:v>0</x:v>
      </x:c>
      <x:c r="K313" s="40" t="str"/>
    </x:row>
    <x:row r="314">
      <x:c r="A314" s="34" t="n">
        <x:v>46295</x:v>
      </x:c>
      <x:c r="B314" s="40" t="str">
        <x:v>Banco de Dados</x:v>
      </x:c>
      <x:c r="C314" s="40" t="str">
        <x:v>7 - Banco de Dados - Modelo Entidade Relacionamento Estendido (ERE)</x:v>
      </x:c>
      <x:c r="D314" s="40" t="str">
        <x:v>Videoaula</x:v>
      </x:c>
      <x:c r="E314" s="40" t="str">
        <x:v>Não iniciado</x:v>
      </x:c>
      <x:c r="F314" s="41" t="str"/>
      <x:c r="G314" s="42" t="str"/>
      <x:c r="H314" s="40" t="str">
        <x:v>Normal</x:v>
      </x:c>
      <x:c r="I314" s="40" t="str">
        <x:f>IF(E314="Concluído","Concluído",IF(A314&lt;TODAY(),"Atrasado",IF(A314=TODAY(),"Hoje","Futuro")))</x:f>
        <x:v>Futuro</x:v>
      </x:c>
      <x:c r="J314" s="43" t="n">
        <x:f>IF(OR(E314="Concluído",A314&gt;=TODAY()),0,TODAY()-A314)</x:f>
        <x:v>0</x:v>
      </x:c>
      <x:c r="K314" s="40" t="str"/>
    </x:row>
    <x:row r="315">
      <x:c r="A315" s="34" t="n">
        <x:v>46295</x:v>
      </x:c>
      <x:c r="B315" s="40" t="str">
        <x:v>Língua Portuguesa</x:v>
      </x:c>
      <x:c r="C315" s="40" t="str">
        <x:v>2 - Ortografia Oficial e Acentuação Gráfica</x:v>
      </x:c>
      <x:c r="D315" s="40" t="str">
        <x:v>Pdf</x:v>
      </x:c>
      <x:c r="E315" s="40" t="str">
        <x:v>Não iniciado</x:v>
      </x:c>
      <x:c r="F315" s="41" t="str"/>
      <x:c r="G315" s="42" t="str"/>
      <x:c r="H315" s="40" t="str">
        <x:v>Normal</x:v>
      </x:c>
      <x:c r="I315" s="40" t="str">
        <x:f>IF(E315="Concluído","Concluído",IF(A315&lt;TODAY(),"Atrasado",IF(A315=TODAY(),"Hoje","Futuro")))</x:f>
        <x:v>Futuro</x:v>
      </x:c>
      <x:c r="J315" s="43" t="n">
        <x:f>IF(OR(E315="Concluído",A315&gt;=TODAY()),0,TODAY()-A315)</x:f>
        <x:v>0</x:v>
      </x:c>
      <x:c r="K315" s="40" t="str"/>
    </x:row>
    <x:row r="316">
      <x:c r="A316" s="34" t="n">
        <x:v>46295</x:v>
      </x:c>
      <x:c r="B316" s="40" t="str">
        <x:v>Legislação Acerca de Segurança da Informação e Proteção de Dados</x:v>
      </x:c>
      <x:c r="C316" s="40" t="str">
        <x:v>4 - Lei n. 13.709/2018 – Lei Geral de Proteção de Dados</x:v>
      </x:c>
      <x:c r="D316" s="40" t="str">
        <x:v>Pdf</x:v>
      </x:c>
      <x:c r="E316" s="40" t="str">
        <x:v>Não iniciado</x:v>
      </x:c>
      <x:c r="F316" s="41" t="str"/>
      <x:c r="G316" s="42" t="str"/>
      <x:c r="H316" s="40" t="str">
        <x:v>Normal</x:v>
      </x:c>
      <x:c r="I316" s="40" t="str">
        <x:f>IF(E316="Concluído","Concluído",IF(A316&lt;TODAY(),"Atrasado",IF(A316=TODAY(),"Hoje","Futuro")))</x:f>
        <x:v>Futuro</x:v>
      </x:c>
      <x:c r="J316" s="43" t="n">
        <x:f>IF(OR(E316="Concluído",A316&gt;=TODAY()),0,TODAY()-A316)</x:f>
        <x:v>0</x:v>
      </x:c>
      <x:c r="K316" s="40" t="str"/>
    </x:row>
    <x:row r="317">
      <x:c r="A317" s="34" t="n">
        <x:v>46295</x:v>
      </x:c>
      <x:c r="B317" s="40" t="str">
        <x:v>Inteligência Emocional</x:v>
      </x:c>
      <x:c r="C317" s="40" t="str">
        <x:v>11 - ELO 11: A Resiliência</x:v>
      </x:c>
      <x:c r="D317" s="40" t="str">
        <x:v>Pdf</x:v>
      </x:c>
      <x:c r="E317" s="40" t="str">
        <x:v>Não iniciado</x:v>
      </x:c>
      <x:c r="F317" s="41" t="str"/>
      <x:c r="G317" s="42" t="str"/>
      <x:c r="H317" s="40" t="str">
        <x:v>Normal</x:v>
      </x:c>
      <x:c r="I317" s="40" t="str">
        <x:f>IF(E317="Concluído","Concluído",IF(A317&lt;TODAY(),"Atrasado",IF(A317=TODAY(),"Hoje","Futuro")))</x:f>
        <x:v>Futuro</x:v>
      </x:c>
      <x:c r="J317" s="43" t="n">
        <x:f>IF(OR(E317="Concluído",A317&gt;=TODAY()),0,TODAY()-A317)</x:f>
        <x:v>0</x:v>
      </x:c>
      <x:c r="K317" s="40" t="str"/>
    </x:row>
    <x:row r="318">
      <x:c r="A318" s="34" t="n">
        <x:v>46296</x:v>
      </x:c>
      <x:c r="B318" s="40" t="str">
        <x:v>Inteligência Emocional</x:v>
      </x:c>
      <x:c r="C318" s="40" t="str">
        <x:v>11 - ELO 11: A Resiliência</x:v>
      </x:c>
      <x:c r="D318" s="40" t="str">
        <x:v>Pdf</x:v>
      </x:c>
      <x:c r="E318" s="40" t="str">
        <x:v>Não iniciado</x:v>
      </x:c>
      <x:c r="F318" s="41" t="str"/>
      <x:c r="G318" s="42" t="str"/>
      <x:c r="H318" s="40" t="str">
        <x:v>Normal</x:v>
      </x:c>
      <x:c r="I318" s="40" t="str">
        <x:f>IF(E318="Concluído","Concluído",IF(A318&lt;TODAY(),"Atrasado",IF(A318=TODAY(),"Hoje","Futuro")))</x:f>
        <x:v>Futuro</x:v>
      </x:c>
      <x:c r="J318" s="43" t="n">
        <x:f>IF(OR(E318="Concluído",A318&gt;=TODAY()),0,TODAY()-A318)</x:f>
        <x:v>0</x:v>
      </x:c>
      <x:c r="K318" s="40" t="str"/>
    </x:row>
    <x:row r="319">
      <x:c r="A319" s="34" t="n">
        <x:v>46296</x:v>
      </x:c>
      <x:c r="B319" s="40" t="str">
        <x:v>Língua Portuguesa</x:v>
      </x:c>
      <x:c r="C319" s="40" t="str">
        <x:v>22 - Resolução de Prova do TJ SC II</x:v>
      </x:c>
      <x:c r="D319" s="40" t="str">
        <x:v>Videoaula</x:v>
      </x:c>
      <x:c r="E319" s="40" t="str">
        <x:v>Não iniciado</x:v>
      </x:c>
      <x:c r="F319" s="41" t="str"/>
      <x:c r="G319" s="42" t="str"/>
      <x:c r="H319" s="40" t="str">
        <x:v>Normal</x:v>
      </x:c>
      <x:c r="I319" s="40" t="str">
        <x:f>IF(E319="Concluído","Concluído",IF(A319&lt;TODAY(),"Atrasado",IF(A319=TODAY(),"Hoje","Futuro")))</x:f>
        <x:v>Futuro</x:v>
      </x:c>
      <x:c r="J319" s="43" t="n">
        <x:f>IF(OR(E319="Concluído",A319&gt;=TODAY()),0,TODAY()-A319)</x:f>
        <x:v>0</x:v>
      </x:c>
      <x:c r="K319" s="40" t="str"/>
    </x:row>
    <x:row r="320">
      <x:c r="A320" s="34" t="n">
        <x:v>46296</x:v>
      </x:c>
      <x:c r="B320" s="40" t="str">
        <x:v>Língua Portuguesa</x:v>
      </x:c>
      <x:c r="C320" s="40" t="str">
        <x:v>23 - Resolução de Prova do TJ SC III</x:v>
      </x:c>
      <x:c r="D320" s="40" t="str">
        <x:v>Videoaula</x:v>
      </x:c>
      <x:c r="E320" s="40" t="str">
        <x:v>Não iniciado</x:v>
      </x:c>
      <x:c r="F320" s="41" t="str"/>
      <x:c r="G320" s="42" t="str"/>
      <x:c r="H320" s="40" t="str">
        <x:v>Normal</x:v>
      </x:c>
      <x:c r="I320" s="40" t="str">
        <x:f>IF(E320="Concluído","Concluído",IF(A320&lt;TODAY(),"Atrasado",IF(A320=TODAY(),"Hoje","Futuro")))</x:f>
        <x:v>Futuro</x:v>
      </x:c>
      <x:c r="J320" s="43" t="n">
        <x:f>IF(OR(E320="Concluído",A320&gt;=TODAY()),0,TODAY()-A320)</x:f>
        <x:v>0</x:v>
      </x:c>
      <x:c r="K320" s="40" t="str"/>
    </x:row>
    <x:row r="321">
      <x:c r="A321" s="34" t="n">
        <x:v>46296</x:v>
      </x:c>
      <x:c r="B321" s="40" t="str">
        <x:v>Língua Inglesa</x:v>
      </x:c>
      <x:c r="C321" s="40" t="str">
        <x:v>22 - New Public Management Model</x:v>
      </x:c>
      <x:c r="D321" s="40" t="str">
        <x:v>Videoaula</x:v>
      </x:c>
      <x:c r="E321" s="40" t="str">
        <x:v>Não iniciado</x:v>
      </x:c>
      <x:c r="F321" s="41" t="str"/>
      <x:c r="G321" s="42" t="str"/>
      <x:c r="H321" s="40" t="str">
        <x:v>Normal</x:v>
      </x:c>
      <x:c r="I321" s="40" t="str">
        <x:f>IF(E321="Concluído","Concluído",IF(A321&lt;TODAY(),"Atrasado",IF(A321=TODAY(),"Hoje","Futuro")))</x:f>
        <x:v>Futuro</x:v>
      </x:c>
      <x:c r="J321" s="43" t="n">
        <x:f>IF(OR(E321="Concluído",A321&gt;=TODAY()),0,TODAY()-A321)</x:f>
        <x:v>0</x:v>
      </x:c>
      <x:c r="K321" s="40" t="str"/>
    </x:row>
    <x:row r="322">
      <x:c r="A322" s="34" t="n">
        <x:v>46297</x:v>
      </x:c>
      <x:c r="B322" s="40" t="str">
        <x:v>Língua Inglesa</x:v>
      </x:c>
      <x:c r="C322" s="40" t="str">
        <x:v>22 - New Public Management Model</x:v>
      </x:c>
      <x:c r="D322" s="40" t="str">
        <x:v>Videoaula</x:v>
      </x:c>
      <x:c r="E322" s="40" t="str">
        <x:v>Não iniciado</x:v>
      </x:c>
      <x:c r="F322" s="41" t="str"/>
      <x:c r="G322" s="42" t="str"/>
      <x:c r="H322" s="40" t="str">
        <x:v>Normal</x:v>
      </x:c>
      <x:c r="I322" s="40" t="str">
        <x:f>IF(E322="Concluído","Concluído",IF(A322&lt;TODAY(),"Atrasado",IF(A322=TODAY(),"Hoje","Futuro")))</x:f>
        <x:v>Futuro</x:v>
      </x:c>
      <x:c r="J322" s="43" t="n">
        <x:f>IF(OR(E322="Concluído",A322&gt;=TODAY()),0,TODAY()-A322)</x:f>
        <x:v>0</x:v>
      </x:c>
      <x:c r="K322" s="40" t="str"/>
    </x:row>
    <x:row r="323">
      <x:c r="A323" s="34" t="n">
        <x:v>46297</x:v>
      </x:c>
      <x:c r="B323" s="40" t="str">
        <x:v>Língua Inglesa</x:v>
      </x:c>
      <x:c r="C323" s="40" t="str">
        <x:v>23 - New Public Management Model II</x:v>
      </x:c>
      <x:c r="D323" s="40" t="str">
        <x:v>Videoaula</x:v>
      </x:c>
      <x:c r="E323" s="40" t="str">
        <x:v>Não iniciado</x:v>
      </x:c>
      <x:c r="F323" s="41" t="str"/>
      <x:c r="G323" s="42" t="str"/>
      <x:c r="H323" s="40" t="str">
        <x:v>Normal</x:v>
      </x:c>
      <x:c r="I323" s="40" t="str">
        <x:f>IF(E323="Concluído","Concluído",IF(A323&lt;TODAY(),"Atrasado",IF(A323=TODAY(),"Hoje","Futuro")))</x:f>
        <x:v>Futuro</x:v>
      </x:c>
      <x:c r="J323" s="43" t="n">
        <x:f>IF(OR(E323="Concluído",A323&gt;=TODAY()),0,TODAY()-A323)</x:f>
        <x:v>0</x:v>
      </x:c>
      <x:c r="K323" s="40" t="str"/>
    </x:row>
    <x:row r="324">
      <x:c r="A324" s="34" t="n">
        <x:v>46297</x:v>
      </x:c>
      <x:c r="B324" s="40" t="str">
        <x:v>Raciocínio Lógico</x:v>
      </x:c>
      <x:c r="C324" s="40" t="str">
        <x:v>6 - Verdades e Mentiras II</x:v>
      </x:c>
      <x:c r="D324" s="40" t="str">
        <x:v>Videoaula</x:v>
      </x:c>
      <x:c r="E324" s="40" t="str">
        <x:v>Não iniciado</x:v>
      </x:c>
      <x:c r="F324" s="41" t="str"/>
      <x:c r="G324" s="42" t="str"/>
      <x:c r="H324" s="40" t="str">
        <x:v>Normal</x:v>
      </x:c>
      <x:c r="I324" s="40" t="str">
        <x:f>IF(E324="Concluído","Concluído",IF(A324&lt;TODAY(),"Atrasado",IF(A324=TODAY(),"Hoje","Futuro")))</x:f>
        <x:v>Futuro</x:v>
      </x:c>
      <x:c r="J324" s="43" t="n">
        <x:f>IF(OR(E324="Concluído",A324&gt;=TODAY()),0,TODAY()-A324)</x:f>
        <x:v>0</x:v>
      </x:c>
      <x:c r="K324" s="40" t="str"/>
    </x:row>
    <x:row r="325">
      <x:c r="A325" s="34" t="n">
        <x:v>46297</x:v>
      </x:c>
      <x:c r="B325" s="40" t="str">
        <x:v>Raciocínio Lógico</x:v>
      </x:c>
      <x:c r="C325" s="40" t="str">
        <x:v>7 - Lógica de 1ª Ordem</x:v>
      </x:c>
      <x:c r="D325" s="40" t="str">
        <x:v>Videoaula</x:v>
      </x:c>
      <x:c r="E325" s="40" t="str">
        <x:v>Não iniciado</x:v>
      </x:c>
      <x:c r="F325" s="41" t="str"/>
      <x:c r="G325" s="42" t="str"/>
      <x:c r="H325" s="40" t="str">
        <x:v>Normal</x:v>
      </x:c>
      <x:c r="I325" s="40" t="str">
        <x:f>IF(E325="Concluído","Concluído",IF(A325&lt;TODAY(),"Atrasado",IF(A325=TODAY(),"Hoje","Futuro")))</x:f>
        <x:v>Futuro</x:v>
      </x:c>
      <x:c r="J325" s="43" t="n">
        <x:f>IF(OR(E325="Concluído",A325&gt;=TODAY()),0,TODAY()-A325)</x:f>
        <x:v>0</x:v>
      </x:c>
      <x:c r="K325" s="40" t="str"/>
    </x:row>
    <x:row r="326">
      <x:c r="A326" s="34" t="n">
        <x:v>46297</x:v>
      </x:c>
      <x:c r="B326" s="40" t="str">
        <x:v>Atualidades e Inteligência Artificial</x:v>
      </x:c>
      <x:c r="C326" s="40" t="str">
        <x:v>22 - Resolução de Questões - Mundo II</x:v>
      </x:c>
      <x:c r="D326" s="40" t="str">
        <x:v>Videoaula</x:v>
      </x:c>
      <x:c r="E326" s="40" t="str">
        <x:v>Não iniciado</x:v>
      </x:c>
      <x:c r="F326" s="41" t="str"/>
      <x:c r="G326" s="42" t="str"/>
      <x:c r="H326" s="40" t="str">
        <x:v>Normal</x:v>
      </x:c>
      <x:c r="I326" s="40" t="str">
        <x:f>IF(E326="Concluído","Concluído",IF(A326&lt;TODAY(),"Atrasado",IF(A326=TODAY(),"Hoje","Futuro")))</x:f>
        <x:v>Futuro</x:v>
      </x:c>
      <x:c r="J326" s="43" t="n">
        <x:f>IF(OR(E326="Concluído",A326&gt;=TODAY()),0,TODAY()-A326)</x:f>
        <x:v>0</x:v>
      </x:c>
      <x:c r="K326" s="40" t="str"/>
    </x:row>
    <x:row r="327">
      <x:c r="A327" s="34" t="n">
        <x:v>46298</x:v>
      </x:c>
      <x:c r="B327" s="40" t="str">
        <x:v>Atualidades e Inteligência Artificial</x:v>
      </x:c>
      <x:c r="C327" s="40" t="str">
        <x:v>22 - Resolução de Questões - Mundo II</x:v>
      </x:c>
      <x:c r="D327" s="40" t="str">
        <x:v>Videoaula</x:v>
      </x:c>
      <x:c r="E327" s="40" t="str">
        <x:v>Não iniciado</x:v>
      </x:c>
      <x:c r="F327" s="41" t="str"/>
      <x:c r="G327" s="42" t="str"/>
      <x:c r="H327" s="40" t="str">
        <x:v>Normal</x:v>
      </x:c>
      <x:c r="I327" s="40" t="str">
        <x:f>IF(E327="Concluído","Concluído",IF(A327&lt;TODAY(),"Atrasado",IF(A327=TODAY(),"Hoje","Futuro")))</x:f>
        <x:v>Futuro</x:v>
      </x:c>
      <x:c r="J327" s="43" t="n">
        <x:f>IF(OR(E327="Concluído",A327&gt;=TODAY()),0,TODAY()-A327)</x:f>
        <x:v>0</x:v>
      </x:c>
      <x:c r="K327" s="40" t="str"/>
    </x:row>
    <x:row r="328">
      <x:c r="A328" s="34" t="n">
        <x:v>46298</x:v>
      </x:c>
      <x:c r="B328" s="40" t="str">
        <x:v>Atualidades e Inteligência Artificial</x:v>
      </x:c>
      <x:c r="C328" s="40" t="str">
        <x:v>23 - Resolução de Questões - Mundo III</x:v>
      </x:c>
      <x:c r="D328" s="40" t="str">
        <x:v>Videoaula</x:v>
      </x:c>
      <x:c r="E328" s="40" t="str">
        <x:v>Não iniciado</x:v>
      </x:c>
      <x:c r="F328" s="41" t="str"/>
      <x:c r="G328" s="42" t="str"/>
      <x:c r="H328" s="40" t="str">
        <x:v>Normal</x:v>
      </x:c>
      <x:c r="I328" s="40" t="str">
        <x:f>IF(E328="Concluído","Concluído",IF(A328&lt;TODAY(),"Atrasado",IF(A328=TODAY(),"Hoje","Futuro")))</x:f>
        <x:v>Futuro</x:v>
      </x:c>
      <x:c r="J328" s="43" t="n">
        <x:f>IF(OR(E328="Concluído",A328&gt;=TODAY()),0,TODAY()-A328)</x:f>
        <x:v>0</x:v>
      </x:c>
      <x:c r="K328" s="40" t="str"/>
    </x:row>
    <x:row r="329">
      <x:c r="A329" s="34" t="n">
        <x:v>46298</x:v>
      </x:c>
      <x:c r="B329" s="40" t="str">
        <x:v>Legislação Acerca de Segurança da Informação e Proteção de Dados</x:v>
      </x:c>
      <x:c r="C329" s="40" t="str">
        <x:v>1 - Lei nº 13.709/2018 - Lei Geral de Proteção de Dados Pessoais - LGPD</x:v>
      </x:c>
      <x:c r="D329" s="40" t="str">
        <x:v>Videoaula</x:v>
      </x:c>
      <x:c r="E329" s="40" t="str">
        <x:v>Não iniciado</x:v>
      </x:c>
      <x:c r="F329" s="41" t="str"/>
      <x:c r="G329" s="42" t="str"/>
      <x:c r="H329" s="40" t="str">
        <x:v>Normal</x:v>
      </x:c>
      <x:c r="I329" s="40" t="str">
        <x:f>IF(E329="Concluído","Concluído",IF(A329&lt;TODAY(),"Atrasado",IF(A329=TODAY(),"Hoje","Futuro")))</x:f>
        <x:v>Futuro</x:v>
      </x:c>
      <x:c r="J329" s="43" t="n">
        <x:f>IF(OR(E329="Concluído",A329&gt;=TODAY()),0,TODAY()-A329)</x:f>
        <x:v>0</x:v>
      </x:c>
      <x:c r="K329" s="40" t="str"/>
    </x:row>
    <x:row r="330">
      <x:c r="A330" s="34" t="n">
        <x:v>46298</x:v>
      </x:c>
      <x:c r="B330" s="40" t="str">
        <x:v>Legislação Acerca de Segurança da Informação e Proteção de Dados</x:v>
      </x:c>
      <x:c r="C330" s="40" t="str">
        <x:v>2 - Lei nº 13.709/2018 - Lei Geral de Proteção de Dados Pessoais - LGPD II</x:v>
      </x:c>
      <x:c r="D330" s="40" t="str">
        <x:v>Videoaula</x:v>
      </x:c>
      <x:c r="E330" s="40" t="str">
        <x:v>Não iniciado</x:v>
      </x:c>
      <x:c r="F330" s="41" t="str"/>
      <x:c r="G330" s="42" t="str"/>
      <x:c r="H330" s="40" t="str">
        <x:v>Normal</x:v>
      </x:c>
      <x:c r="I330" s="40" t="str">
        <x:f>IF(E330="Concluído","Concluído",IF(A330&lt;TODAY(),"Atrasado",IF(A330=TODAY(),"Hoje","Futuro")))</x:f>
        <x:v>Futuro</x:v>
      </x:c>
      <x:c r="J330" s="43" t="n">
        <x:f>IF(OR(E330="Concluído",A330&gt;=TODAY()),0,TODAY()-A330)</x:f>
        <x:v>0</x:v>
      </x:c>
      <x:c r="K330" s="40" t="str"/>
    </x:row>
    <x:row r="331">
      <x:c r="A331" s="34" t="n">
        <x:v>46299</x:v>
      </x:c>
      <x:c r="B331" s="40" t="str">
        <x:v>Legislação Acerca de Segurança da Informação e Proteção de Dados</x:v>
      </x:c>
      <x:c r="C331" s="40" t="str">
        <x:v>2 - Lei nº 13.709/2018 - Lei Geral de Proteção de Dados Pessoais - LGPD II</x:v>
      </x:c>
      <x:c r="D331" s="40" t="str">
        <x:v>Videoaula</x:v>
      </x:c>
      <x:c r="E331" s="40" t="str">
        <x:v>Não iniciado</x:v>
      </x:c>
      <x:c r="F331" s="41" t="str"/>
      <x:c r="G331" s="42" t="str"/>
      <x:c r="H331" s="40" t="str">
        <x:v>Normal</x:v>
      </x:c>
      <x:c r="I331" s="40" t="str">
        <x:f>IF(E331="Concluído","Concluído",IF(A331&lt;TODAY(),"Atrasado",IF(A331=TODAY(),"Hoje","Futuro")))</x:f>
        <x:v>Futuro</x:v>
      </x:c>
      <x:c r="J331" s="43" t="n">
        <x:f>IF(OR(E331="Concluído",A331&gt;=TODAY()),0,TODAY()-A331)</x:f>
        <x:v>0</x:v>
      </x:c>
      <x:c r="K331" s="40" t="str"/>
    </x:row>
    <x:row r="332">
      <x:c r="A332" s="34" t="n">
        <x:v>46299</x:v>
      </x:c>
      <x:c r="B332" s="40" t="str">
        <x:v>Gestão e Governança de Tecnologia da Informação</x:v>
      </x:c>
      <x:c r="C332" s="40" t="str">
        <x:v>6 - Instrução Normativa SGD/ME nº 94/2022 - Contratação de Soluções de Tecnologia da Informação e Comunicação - TIC VI</x:v>
      </x:c>
      <x:c r="D332" s="40" t="str">
        <x:v>Videoaula</x:v>
      </x:c>
      <x:c r="E332" s="40" t="str">
        <x:v>Não iniciado</x:v>
      </x:c>
      <x:c r="F332" s="41" t="str"/>
      <x:c r="G332" s="42" t="str"/>
      <x:c r="H332" s="40" t="str">
        <x:v>Normal</x:v>
      </x:c>
      <x:c r="I332" s="40" t="str">
        <x:f>IF(E332="Concluído","Concluído",IF(A332&lt;TODAY(),"Atrasado",IF(A332=TODAY(),"Hoje","Futuro")))</x:f>
        <x:v>Futuro</x:v>
      </x:c>
      <x:c r="J332" s="43" t="n">
        <x:f>IF(OR(E332="Concluído",A332&gt;=TODAY()),0,TODAY()-A332)</x:f>
        <x:v>0</x:v>
      </x:c>
      <x:c r="K332" s="40" t="str"/>
    </x:row>
    <x:row r="333">
      <x:c r="A333" s="34" t="n">
        <x:v>46299</x:v>
      </x:c>
      <x:c r="B333" s="40" t="str">
        <x:v>Gestão e Governança de Tecnologia da Informação</x:v>
      </x:c>
      <x:c r="C333" s="40" t="str">
        <x:v>7 - Instrução Normativa SGD/ME nº 94/2022 - Contratação de Soluções de Tecnologia da Informação e Comunicação - TIC VII</x:v>
      </x:c>
      <x:c r="D333" s="40" t="str">
        <x:v>Videoaula</x:v>
      </x:c>
      <x:c r="E333" s="40" t="str">
        <x:v>Não iniciado</x:v>
      </x:c>
      <x:c r="F333" s="41" t="str"/>
      <x:c r="G333" s="42" t="str"/>
      <x:c r="H333" s="40" t="str">
        <x:v>Normal</x:v>
      </x:c>
      <x:c r="I333" s="40" t="str">
        <x:f>IF(E333="Concluído","Concluído",IF(A333&lt;TODAY(),"Atrasado",IF(A333=TODAY(),"Hoje","Futuro")))</x:f>
        <x:v>Futuro</x:v>
      </x:c>
      <x:c r="J333" s="43" t="n">
        <x:f>IF(OR(E333="Concluído",A333&gt;=TODAY()),0,TODAY()-A333)</x:f>
        <x:v>0</x:v>
      </x:c>
      <x:c r="K333" s="40" t="str"/>
    </x:row>
    <x:row r="334">
      <x:c r="A334" s="34" t="n">
        <x:v>46299</x:v>
      </x:c>
      <x:c r="B334" s="40" t="str">
        <x:v>Banco de Dados</x:v>
      </x:c>
      <x:c r="C334" s="40" t="str">
        <x:v>8 - Banco de Dados - Modelo Relacional</x:v>
      </x:c>
      <x:c r="D334" s="40" t="str">
        <x:v>Videoaula</x:v>
      </x:c>
      <x:c r="E334" s="40" t="str">
        <x:v>Não iniciado</x:v>
      </x:c>
      <x:c r="F334" s="41" t="str"/>
      <x:c r="G334" s="42" t="str"/>
      <x:c r="H334" s="40" t="str">
        <x:v>Normal</x:v>
      </x:c>
      <x:c r="I334" s="40" t="str">
        <x:f>IF(E334="Concluído","Concluído",IF(A334&lt;TODAY(),"Atrasado",IF(A334=TODAY(),"Hoje","Futuro")))</x:f>
        <x:v>Futuro</x:v>
      </x:c>
      <x:c r="J334" s="43" t="n">
        <x:f>IF(OR(E334="Concluído",A334&gt;=TODAY()),0,TODAY()-A334)</x:f>
        <x:v>0</x:v>
      </x:c>
      <x:c r="K334" s="40" t="str"/>
    </x:row>
    <x:row r="335">
      <x:c r="A335" s="34" t="n">
        <x:v>46299</x:v>
      </x:c>
      <x:c r="B335" s="40" t="str">
        <x:v>Revisão</x:v>
      </x:c>
      <x:c r="C335" s="40" t="str">
        <x:v>Revisão</x:v>
      </x:c>
      <x:c r="D335" s="40" t="str">
        <x:v>Revisao</x:v>
      </x:c>
      <x:c r="E335" s="40" t="str">
        <x:v>Não iniciado</x:v>
      </x:c>
      <x:c r="F335" s="41" t="str"/>
      <x:c r="G335" s="42" t="str"/>
      <x:c r="H335" s="40" t="str">
        <x:v>Normal</x:v>
      </x:c>
      <x:c r="I335" s="40" t="str">
        <x:f>IF(E335="Concluído","Concluído",IF(A335&lt;TODAY(),"Atrasado",IF(A335=TODAY(),"Hoje","Futuro")))</x:f>
        <x:v>Futuro</x:v>
      </x:c>
      <x:c r="J335" s="43" t="n">
        <x:f>IF(OR(E335="Concluído",A335&gt;=TODAY()),0,TODAY()-A335)</x:f>
        <x:v>0</x:v>
      </x:c>
      <x:c r="K335" s="40" t="str"/>
    </x:row>
    <x:row r="336">
      <x:c r="A336" s="34" t="n">
        <x:v>46300</x:v>
      </x:c>
      <x:c r="B336" s="40" t="str">
        <x:v>Banco de Dados</x:v>
      </x:c>
      <x:c r="C336" s="40" t="str">
        <x:v>8 - Banco de Dados - Modelo Relacional</x:v>
      </x:c>
      <x:c r="D336" s="40" t="str">
        <x:v>Videoaula</x:v>
      </x:c>
      <x:c r="E336" s="40" t="str">
        <x:v>Não iniciado</x:v>
      </x:c>
      <x:c r="F336" s="41" t="str"/>
      <x:c r="G336" s="42" t="str"/>
      <x:c r="H336" s="40" t="str">
        <x:v>Normal</x:v>
      </x:c>
      <x:c r="I336" s="40" t="str">
        <x:f>IF(E336="Concluído","Concluído",IF(A336&lt;TODAY(),"Atrasado",IF(A336=TODAY(),"Hoje","Futuro")))</x:f>
        <x:v>Futuro</x:v>
      </x:c>
      <x:c r="J336" s="43" t="n">
        <x:f>IF(OR(E336="Concluído",A336&gt;=TODAY()),0,TODAY()-A336)</x:f>
        <x:v>0</x:v>
      </x:c>
      <x:c r="K336" s="40" t="str"/>
    </x:row>
    <x:row r="337">
      <x:c r="A337" s="34" t="n">
        <x:v>46300</x:v>
      </x:c>
      <x:c r="B337" s="40" t="str">
        <x:v>Banco de Dados</x:v>
      </x:c>
      <x:c r="C337" s="40" t="str">
        <x:v>9 - Banco de Dados - Mapeamento ER Relacional</x:v>
      </x:c>
      <x:c r="D337" s="40" t="str">
        <x:v>Videoaula</x:v>
      </x:c>
      <x:c r="E337" s="40" t="str">
        <x:v>Não iniciado</x:v>
      </x:c>
      <x:c r="F337" s="41" t="str"/>
      <x:c r="G337" s="42" t="str"/>
      <x:c r="H337" s="40" t="str">
        <x:v>Normal</x:v>
      </x:c>
      <x:c r="I337" s="40" t="str">
        <x:f>IF(E337="Concluído","Concluído",IF(A337&lt;TODAY(),"Atrasado",IF(A337=TODAY(),"Hoje","Futuro")))</x:f>
        <x:v>Futuro</x:v>
      </x:c>
      <x:c r="J337" s="43" t="n">
        <x:f>IF(OR(E337="Concluído",A337&gt;=TODAY()),0,TODAY()-A337)</x:f>
        <x:v>0</x:v>
      </x:c>
      <x:c r="K337" s="40" t="str"/>
    </x:row>
    <x:row r="338">
      <x:c r="A338" s="34" t="n">
        <x:v>46300</x:v>
      </x:c>
      <x:c r="B338" s="40" t="str">
        <x:v>Língua Portuguesa</x:v>
      </x:c>
      <x:c r="C338" s="40" t="str">
        <x:v>1 - A Sintaxe do Período Simples - Parte I</x:v>
      </x:c>
      <x:c r="D338" s="40" t="str">
        <x:v>Pdf</x:v>
      </x:c>
      <x:c r="E338" s="40" t="str">
        <x:v>Não iniciado</x:v>
      </x:c>
      <x:c r="F338" s="41" t="str"/>
      <x:c r="G338" s="42" t="str"/>
      <x:c r="H338" s="40" t="str">
        <x:v>Normal</x:v>
      </x:c>
      <x:c r="I338" s="40" t="str">
        <x:f>IF(E338="Concluído","Concluído",IF(A338&lt;TODAY(),"Atrasado",IF(A338=TODAY(),"Hoje","Futuro")))</x:f>
        <x:v>Futuro</x:v>
      </x:c>
      <x:c r="J338" s="43" t="n">
        <x:f>IF(OR(E338="Concluído",A338&gt;=TODAY()),0,TODAY()-A338)</x:f>
        <x:v>0</x:v>
      </x:c>
      <x:c r="K338" s="40" t="str"/>
    </x:row>
    <x:row r="339">
      <x:c r="A339" s="34" t="n">
        <x:v>46301</x:v>
      </x:c>
      <x:c r="B339" s="40" t="str">
        <x:v>Língua Portuguesa</x:v>
      </x:c>
      <x:c r="C339" s="40" t="str">
        <x:v>1 - A Sintaxe do Período Simples - Parte I</x:v>
      </x:c>
      <x:c r="D339" s="40" t="str">
        <x:v>Pdf</x:v>
      </x:c>
      <x:c r="E339" s="40" t="str">
        <x:v>Não iniciado</x:v>
      </x:c>
      <x:c r="F339" s="41" t="str"/>
      <x:c r="G339" s="42" t="str"/>
      <x:c r="H339" s="40" t="str">
        <x:v>Normal</x:v>
      </x:c>
      <x:c r="I339" s="40" t="str">
        <x:f>IF(E339="Concluído","Concluído",IF(A339&lt;TODAY(),"Atrasado",IF(A339=TODAY(),"Hoje","Futuro")))</x:f>
        <x:v>Futuro</x:v>
      </x:c>
      <x:c r="J339" s="43" t="n">
        <x:f>IF(OR(E339="Concluído",A339&gt;=TODAY()),0,TODAY()-A339)</x:f>
        <x:v>0</x:v>
      </x:c>
      <x:c r="K339" s="40" t="str"/>
    </x:row>
    <x:row r="340">
      <x:c r="A340" s="34" t="n">
        <x:v>46301</x:v>
      </x:c>
      <x:c r="B340" s="40" t="str">
        <x:v>Inteligência Emocional</x:v>
      </x:c>
      <x:c r="C340" s="40" t="str">
        <x:v>12 - ELO 12: Autoestima e seus 6 Pilares</x:v>
      </x:c>
      <x:c r="D340" s="40" t="str">
        <x:v>Pdf</x:v>
      </x:c>
      <x:c r="E340" s="40" t="str">
        <x:v>Não iniciado</x:v>
      </x:c>
      <x:c r="F340" s="41" t="str"/>
      <x:c r="G340" s="42" t="str"/>
      <x:c r="H340" s="40" t="str">
        <x:v>Normal</x:v>
      </x:c>
      <x:c r="I340" s="40" t="str">
        <x:f>IF(E340="Concluído","Concluído",IF(A340&lt;TODAY(),"Atrasado",IF(A340=TODAY(),"Hoje","Futuro")))</x:f>
        <x:v>Futuro</x:v>
      </x:c>
      <x:c r="J340" s="43" t="n">
        <x:f>IF(OR(E340="Concluído",A340&gt;=TODAY()),0,TODAY()-A340)</x:f>
        <x:v>0</x:v>
      </x:c>
      <x:c r="K340" s="40" t="str"/>
    </x:row>
    <x:row r="341">
      <x:c r="A341" s="34" t="n">
        <x:v>46302</x:v>
      </x:c>
      <x:c r="B341" s="40" t="str">
        <x:v>Inteligência Emocional</x:v>
      </x:c>
      <x:c r="C341" s="40" t="str">
        <x:v>12 - ELO 12: Autoestima e seus 6 Pilares</x:v>
      </x:c>
      <x:c r="D341" s="40" t="str">
        <x:v>Pdf</x:v>
      </x:c>
      <x:c r="E341" s="40" t="str">
        <x:v>Não iniciado</x:v>
      </x:c>
      <x:c r="F341" s="41" t="str"/>
      <x:c r="G341" s="42" t="str"/>
      <x:c r="H341" s="40" t="str">
        <x:v>Normal</x:v>
      </x:c>
      <x:c r="I341" s="40" t="str">
        <x:f>IF(E341="Concluído","Concluído",IF(A341&lt;TODAY(),"Atrasado",IF(A341=TODAY(),"Hoje","Futuro")))</x:f>
        <x:v>Futuro</x:v>
      </x:c>
      <x:c r="J341" s="43" t="n">
        <x:f>IF(OR(E341="Concluído",A341&gt;=TODAY()),0,TODAY()-A341)</x:f>
        <x:v>0</x:v>
      </x:c>
      <x:c r="K341" s="40" t="str"/>
    </x:row>
    <x:row r="342">
      <x:c r="A342" s="34" t="n">
        <x:v>46302</x:v>
      </x:c>
      <x:c r="B342" s="40" t="str">
        <x:v>Língua Portuguesa</x:v>
      </x:c>
      <x:c r="C342" s="40" t="str">
        <x:v>24 - Resolução de Provas</x:v>
      </x:c>
      <x:c r="D342" s="40" t="str">
        <x:v>Videoaula</x:v>
      </x:c>
      <x:c r="E342" s="40" t="str">
        <x:v>Não iniciado</x:v>
      </x:c>
      <x:c r="F342" s="41" t="str"/>
      <x:c r="G342" s="42" t="str"/>
      <x:c r="H342" s="40" t="str">
        <x:v>Normal</x:v>
      </x:c>
      <x:c r="I342" s="40" t="str">
        <x:f>IF(E342="Concluído","Concluído",IF(A342&lt;TODAY(),"Atrasado",IF(A342=TODAY(),"Hoje","Futuro")))</x:f>
        <x:v>Futuro</x:v>
      </x:c>
      <x:c r="J342" s="43" t="n">
        <x:f>IF(OR(E342="Concluído",A342&gt;=TODAY()),0,TODAY()-A342)</x:f>
        <x:v>0</x:v>
      </x:c>
      <x:c r="K342" s="40" t="str"/>
    </x:row>
    <x:row r="343">
      <x:c r="A343" s="34" t="n">
        <x:v>46302</x:v>
      </x:c>
      <x:c r="B343" s="40" t="str">
        <x:v>Língua Portuguesa</x:v>
      </x:c>
      <x:c r="C343" s="40" t="str">
        <x:v>25 - Resolução de Provas</x:v>
      </x:c>
      <x:c r="D343" s="40" t="str">
        <x:v>Videoaula</x:v>
      </x:c>
      <x:c r="E343" s="40" t="str">
        <x:v>Não iniciado</x:v>
      </x:c>
      <x:c r="F343" s="41" t="str"/>
      <x:c r="G343" s="42" t="str"/>
      <x:c r="H343" s="40" t="str">
        <x:v>Normal</x:v>
      </x:c>
      <x:c r="I343" s="40" t="str">
        <x:f>IF(E343="Concluído","Concluído",IF(A343&lt;TODAY(),"Atrasado",IF(A343=TODAY(),"Hoje","Futuro")))</x:f>
        <x:v>Futuro</x:v>
      </x:c>
      <x:c r="J343" s="43" t="n">
        <x:f>IF(OR(E343="Concluído",A343&gt;=TODAY()),0,TODAY()-A343)</x:f>
        <x:v>0</x:v>
      </x:c>
      <x:c r="K343" s="40" t="str"/>
    </x:row>
    <x:row r="344">
      <x:c r="A344" s="34" t="n">
        <x:v>46302</x:v>
      </x:c>
      <x:c r="B344" s="40" t="str">
        <x:v>Língua Inglesa</x:v>
      </x:c>
      <x:c r="C344" s="40" t="str">
        <x:v>24 - For Taxpayer Advicate, a Familiar Refrain</x:v>
      </x:c>
      <x:c r="D344" s="40" t="str">
        <x:v>Videoaula</x:v>
      </x:c>
      <x:c r="E344" s="40" t="str">
        <x:v>Não iniciado</x:v>
      </x:c>
      <x:c r="F344" s="41" t="str"/>
      <x:c r="G344" s="42" t="str"/>
      <x:c r="H344" s="40" t="str">
        <x:v>Normal</x:v>
      </x:c>
      <x:c r="I344" s="40" t="str">
        <x:f>IF(E344="Concluído","Concluído",IF(A344&lt;TODAY(),"Atrasado",IF(A344=TODAY(),"Hoje","Futuro")))</x:f>
        <x:v>Futuro</x:v>
      </x:c>
      <x:c r="J344" s="43" t="n">
        <x:f>IF(OR(E344="Concluído",A344&gt;=TODAY()),0,TODAY()-A344)</x:f>
        <x:v>0</x:v>
      </x:c>
      <x:c r="K344" s="40" t="str"/>
    </x:row>
    <x:row r="345">
      <x:c r="A345" s="34" t="n">
        <x:v>46303</x:v>
      </x:c>
      <x:c r="B345" s="40" t="str">
        <x:v>Língua Inglesa</x:v>
      </x:c>
      <x:c r="C345" s="40" t="str">
        <x:v>24 - For Taxpayer Advicate, a Familiar Refrain</x:v>
      </x:c>
      <x:c r="D345" s="40" t="str">
        <x:v>Videoaula</x:v>
      </x:c>
      <x:c r="E345" s="40" t="str">
        <x:v>Não iniciado</x:v>
      </x:c>
      <x:c r="F345" s="41" t="str"/>
      <x:c r="G345" s="42" t="str"/>
      <x:c r="H345" s="40" t="str">
        <x:v>Normal</x:v>
      </x:c>
      <x:c r="I345" s="40" t="str">
        <x:f>IF(E345="Concluído","Concluído",IF(A345&lt;TODAY(),"Atrasado",IF(A345=TODAY(),"Hoje","Futuro")))</x:f>
        <x:v>Futuro</x:v>
      </x:c>
      <x:c r="J345" s="43" t="n">
        <x:f>IF(OR(E345="Concluído",A345&gt;=TODAY()),0,TODAY()-A345)</x:f>
        <x:v>0</x:v>
      </x:c>
      <x:c r="K345" s="40" t="str"/>
    </x:row>
    <x:row r="346">
      <x:c r="A346" s="34" t="n">
        <x:v>46303</x:v>
      </x:c>
      <x:c r="B346" s="40" t="str">
        <x:v>Língua Inglesa</x:v>
      </x:c>
      <x:c r="C346" s="40" t="str">
        <x:v>25 - For Taxpayer Advocate, a Familiar Refrain II</x:v>
      </x:c>
      <x:c r="D346" s="40" t="str">
        <x:v>Videoaula</x:v>
      </x:c>
      <x:c r="E346" s="40" t="str">
        <x:v>Não iniciado</x:v>
      </x:c>
      <x:c r="F346" s="41" t="str"/>
      <x:c r="G346" s="42" t="str"/>
      <x:c r="H346" s="40" t="str">
        <x:v>Normal</x:v>
      </x:c>
      <x:c r="I346" s="40" t="str">
        <x:f>IF(E346="Concluído","Concluído",IF(A346&lt;TODAY(),"Atrasado",IF(A346=TODAY(),"Hoje","Futuro")))</x:f>
        <x:v>Futuro</x:v>
      </x:c>
      <x:c r="J346" s="43" t="n">
        <x:f>IF(OR(E346="Concluído",A346&gt;=TODAY()),0,TODAY()-A346)</x:f>
        <x:v>0</x:v>
      </x:c>
      <x:c r="K346" s="40" t="str"/>
    </x:row>
    <x:row r="347">
      <x:c r="A347" s="34" t="n">
        <x:v>46303</x:v>
      </x:c>
      <x:c r="B347" s="40" t="str">
        <x:v>Raciocínio Lógico</x:v>
      </x:c>
      <x:c r="C347" s="40" t="str">
        <x:v>8 - Lógica de 1ª Ordem II</x:v>
      </x:c>
      <x:c r="D347" s="40" t="str">
        <x:v>Videoaula</x:v>
      </x:c>
      <x:c r="E347" s="40" t="str">
        <x:v>Não iniciado</x:v>
      </x:c>
      <x:c r="F347" s="41" t="str"/>
      <x:c r="G347" s="42" t="str"/>
      <x:c r="H347" s="40" t="str">
        <x:v>Normal</x:v>
      </x:c>
      <x:c r="I347" s="40" t="str">
        <x:f>IF(E347="Concluído","Concluído",IF(A347&lt;TODAY(),"Atrasado",IF(A347=TODAY(),"Hoje","Futuro")))</x:f>
        <x:v>Futuro</x:v>
      </x:c>
      <x:c r="J347" s="43" t="n">
        <x:f>IF(OR(E347="Concluído",A347&gt;=TODAY()),0,TODAY()-A347)</x:f>
        <x:v>0</x:v>
      </x:c>
      <x:c r="K347" s="40" t="str"/>
    </x:row>
    <x:row r="348">
      <x:c r="A348" s="34" t="n">
        <x:v>46303</x:v>
      </x:c>
      <x:c r="B348" s="40" t="str">
        <x:v>Raciocínio Lógico</x:v>
      </x:c>
      <x:c r="C348" s="40" t="str">
        <x:v>1 - Resolução de Problemas Matriciais, Geométricos e Aritméticos</x:v>
      </x:c>
      <x:c r="D348" s="40" t="str">
        <x:v>Videoaula</x:v>
      </x:c>
      <x:c r="E348" s="40" t="str">
        <x:v>Não iniciado</x:v>
      </x:c>
      <x:c r="F348" s="41" t="str"/>
      <x:c r="G348" s="42" t="str"/>
      <x:c r="H348" s="40" t="str">
        <x:v>Normal</x:v>
      </x:c>
      <x:c r="I348" s="40" t="str">
        <x:f>IF(E348="Concluído","Concluído",IF(A348&lt;TODAY(),"Atrasado",IF(A348=TODAY(),"Hoje","Futuro")))</x:f>
        <x:v>Futuro</x:v>
      </x:c>
      <x:c r="J348" s="43" t="n">
        <x:f>IF(OR(E348="Concluído",A348&gt;=TODAY()),0,TODAY()-A348)</x:f>
        <x:v>0</x:v>
      </x:c>
      <x:c r="K348" s="40" t="str"/>
    </x:row>
    <x:row r="349">
      <x:c r="A349" s="34" t="n">
        <x:v>46303</x:v>
      </x:c>
      <x:c r="B349" s="40" t="str">
        <x:v>Atualidades e Inteligência Artificial</x:v>
      </x:c>
      <x:c r="C349" s="40" t="str">
        <x:v>24 - Política Brasil</x:v>
      </x:c>
      <x:c r="D349" s="40" t="str">
        <x:v>Videoaula</x:v>
      </x:c>
      <x:c r="E349" s="40" t="str">
        <x:v>Não iniciado</x:v>
      </x:c>
      <x:c r="F349" s="41" t="str"/>
      <x:c r="G349" s="42" t="str"/>
      <x:c r="H349" s="40" t="str">
        <x:v>Normal</x:v>
      </x:c>
      <x:c r="I349" s="40" t="str">
        <x:f>IF(E349="Concluído","Concluído",IF(A349&lt;TODAY(),"Atrasado",IF(A349=TODAY(),"Hoje","Futuro")))</x:f>
        <x:v>Futuro</x:v>
      </x:c>
      <x:c r="J349" s="43" t="n">
        <x:f>IF(OR(E349="Concluído",A349&gt;=TODAY()),0,TODAY()-A349)</x:f>
        <x:v>0</x:v>
      </x:c>
      <x:c r="K349" s="40" t="str"/>
    </x:row>
    <x:row r="350">
      <x:c r="A350" s="34" t="n">
        <x:v>46304</x:v>
      </x:c>
      <x:c r="B350" s="40" t="str">
        <x:v>Atualidades e Inteligência Artificial</x:v>
      </x:c>
      <x:c r="C350" s="40" t="str">
        <x:v>24 - Política Brasil</x:v>
      </x:c>
      <x:c r="D350" s="40" t="str">
        <x:v>Videoaula</x:v>
      </x:c>
      <x:c r="E350" s="40" t="str">
        <x:v>Não iniciado</x:v>
      </x:c>
      <x:c r="F350" s="41" t="str"/>
      <x:c r="G350" s="42" t="str"/>
      <x:c r="H350" s="40" t="str">
        <x:v>Normal</x:v>
      </x:c>
      <x:c r="I350" s="40" t="str">
        <x:f>IF(E350="Concluído","Concluído",IF(A350&lt;TODAY(),"Atrasado",IF(A350=TODAY(),"Hoje","Futuro")))</x:f>
        <x:v>Futuro</x:v>
      </x:c>
      <x:c r="J350" s="43" t="n">
        <x:f>IF(OR(E350="Concluído",A350&gt;=TODAY()),0,TODAY()-A350)</x:f>
        <x:v>0</x:v>
      </x:c>
      <x:c r="K350" s="40" t="str"/>
    </x:row>
    <x:row r="351">
      <x:c r="A351" s="34" t="n">
        <x:v>46304</x:v>
      </x:c>
      <x:c r="B351" s="40" t="str">
        <x:v>Atualidades e Inteligência Artificial</x:v>
      </x:c>
      <x:c r="C351" s="40" t="str">
        <x:v>25 - Política Brasil II</x:v>
      </x:c>
      <x:c r="D351" s="40" t="str">
        <x:v>Videoaula</x:v>
      </x:c>
      <x:c r="E351" s="40" t="str">
        <x:v>Não iniciado</x:v>
      </x:c>
      <x:c r="F351" s="41" t="str"/>
      <x:c r="G351" s="42" t="str"/>
      <x:c r="H351" s="40" t="str">
        <x:v>Normal</x:v>
      </x:c>
      <x:c r="I351" s="40" t="str">
        <x:f>IF(E351="Concluído","Concluído",IF(A351&lt;TODAY(),"Atrasado",IF(A351=TODAY(),"Hoje","Futuro")))</x:f>
        <x:v>Futuro</x:v>
      </x:c>
      <x:c r="J351" s="43" t="n">
        <x:f>IF(OR(E351="Concluído",A351&gt;=TODAY()),0,TODAY()-A351)</x:f>
        <x:v>0</x:v>
      </x:c>
      <x:c r="K351" s="40" t="str"/>
    </x:row>
    <x:row r="352">
      <x:c r="A352" s="34" t="n">
        <x:v>46304</x:v>
      </x:c>
      <x:c r="B352" s="40" t="str">
        <x:v>Legislação Acerca de Segurança da Informação e Proteção de Dados</x:v>
      </x:c>
      <x:c r="C352" s="40" t="str">
        <x:v>3 - Lei nº 13.709/2018 - Lei Geral de Proteção de Dados Pessoais - LGPD III</x:v>
      </x:c>
      <x:c r="D352" s="40" t="str">
        <x:v>Videoaula</x:v>
      </x:c>
      <x:c r="E352" s="40" t="str">
        <x:v>Não iniciado</x:v>
      </x:c>
      <x:c r="F352" s="41" t="str"/>
      <x:c r="G352" s="42" t="str"/>
      <x:c r="H352" s="40" t="str">
        <x:v>Normal</x:v>
      </x:c>
      <x:c r="I352" s="40" t="str">
        <x:f>IF(E352="Concluído","Concluído",IF(A352&lt;TODAY(),"Atrasado",IF(A352=TODAY(),"Hoje","Futuro")))</x:f>
        <x:v>Futuro</x:v>
      </x:c>
      <x:c r="J352" s="43" t="n">
        <x:f>IF(OR(E352="Concluído",A352&gt;=TODAY()),0,TODAY()-A352)</x:f>
        <x:v>0</x:v>
      </x:c>
      <x:c r="K352" s="40" t="str"/>
    </x:row>
    <x:row r="353">
      <x:c r="A353" s="34" t="n">
        <x:v>46304</x:v>
      </x:c>
      <x:c r="B353" s="40" t="str">
        <x:v>Legislação Acerca de Segurança da Informação e Proteção de Dados</x:v>
      </x:c>
      <x:c r="C353" s="40" t="str">
        <x:v>4 - Lei nº 13.709/2018 - Lei Geral de Proteção de Dados Pessoais - LGPD IV</x:v>
      </x:c>
      <x:c r="D353" s="40" t="str">
        <x:v>Videoaula</x:v>
      </x:c>
      <x:c r="E353" s="40" t="str">
        <x:v>Não iniciado</x:v>
      </x:c>
      <x:c r="F353" s="41" t="str"/>
      <x:c r="G353" s="42" t="str"/>
      <x:c r="H353" s="40" t="str">
        <x:v>Normal</x:v>
      </x:c>
      <x:c r="I353" s="40" t="str">
        <x:f>IF(E353="Concluído","Concluído",IF(A353&lt;TODAY(),"Atrasado",IF(A353=TODAY(),"Hoje","Futuro")))</x:f>
        <x:v>Futuro</x:v>
      </x:c>
      <x:c r="J353" s="43" t="n">
        <x:f>IF(OR(E353="Concluído",A353&gt;=TODAY()),0,TODAY()-A353)</x:f>
        <x:v>0</x:v>
      </x:c>
      <x:c r="K353" s="40" t="str"/>
    </x:row>
    <x:row r="354">
      <x:c r="A354" s="34" t="n">
        <x:v>46305</x:v>
      </x:c>
      <x:c r="B354" s="40" t="str">
        <x:v>Legislação Acerca de Segurança da Informação e Proteção de Dados</x:v>
      </x:c>
      <x:c r="C354" s="40" t="str">
        <x:v>4 - Lei nº 13.709/2018 - Lei Geral de Proteção de Dados Pessoais - LGPD IV</x:v>
      </x:c>
      <x:c r="D354" s="40" t="str">
        <x:v>Videoaula</x:v>
      </x:c>
      <x:c r="E354" s="40" t="str">
        <x:v>Não iniciado</x:v>
      </x:c>
      <x:c r="F354" s="41" t="str"/>
      <x:c r="G354" s="42" t="str"/>
      <x:c r="H354" s="40" t="str">
        <x:v>Normal</x:v>
      </x:c>
      <x:c r="I354" s="40" t="str">
        <x:f>IF(E354="Concluído","Concluído",IF(A354&lt;TODAY(),"Atrasado",IF(A354=TODAY(),"Hoje","Futuro")))</x:f>
        <x:v>Futuro</x:v>
      </x:c>
      <x:c r="J354" s="43" t="n">
        <x:f>IF(OR(E354="Concluído",A354&gt;=TODAY()),0,TODAY()-A354)</x:f>
        <x:v>0</x:v>
      </x:c>
      <x:c r="K354" s="40" t="str"/>
    </x:row>
    <x:row r="355">
      <x:c r="A355" s="34" t="n">
        <x:v>46305</x:v>
      </x:c>
      <x:c r="B355" s="40" t="str">
        <x:v>Gestão e Governança de Tecnologia da Informação</x:v>
      </x:c>
      <x:c r="C355" s="40" t="str">
        <x:v>8 - Instrução Normativa SGD/ME nº 94/2022 - Contratação de Soluções de Tecnologia da Informação e Comunicação - TIC VIII</x:v>
      </x:c>
      <x:c r="D355" s="40" t="str">
        <x:v>Videoaula</x:v>
      </x:c>
      <x:c r="E355" s="40" t="str">
        <x:v>Não iniciado</x:v>
      </x:c>
      <x:c r="F355" s="41" t="str"/>
      <x:c r="G355" s="42" t="str"/>
      <x:c r="H355" s="40" t="str">
        <x:v>Normal</x:v>
      </x:c>
      <x:c r="I355" s="40" t="str">
        <x:f>IF(E355="Concluído","Concluído",IF(A355&lt;TODAY(),"Atrasado",IF(A355=TODAY(),"Hoje","Futuro")))</x:f>
        <x:v>Futuro</x:v>
      </x:c>
      <x:c r="J355" s="43" t="n">
        <x:f>IF(OR(E355="Concluído",A355&gt;=TODAY()),0,TODAY()-A355)</x:f>
        <x:v>0</x:v>
      </x:c>
      <x:c r="K355" s="40" t="str"/>
    </x:row>
    <x:row r="356">
      <x:c r="A356" s="34" t="n">
        <x:v>46305</x:v>
      </x:c>
      <x:c r="B356" s="40" t="str">
        <x:v>Gestão e Governança de Tecnologia da Informação</x:v>
      </x:c>
      <x:c r="C356" s="40" t="str">
        <x:v>9 - Instrução Normativa SGD/ME nº 94/2022 - Contratação de Soluções de Tecnologia da Informação e Comunicação - TIC IX</x:v>
      </x:c>
      <x:c r="D356" s="40" t="str">
        <x:v>Videoaula</x:v>
      </x:c>
      <x:c r="E356" s="40" t="str">
        <x:v>Não iniciado</x:v>
      </x:c>
      <x:c r="F356" s="41" t="str"/>
      <x:c r="G356" s="42" t="str"/>
      <x:c r="H356" s="40" t="str">
        <x:v>Normal</x:v>
      </x:c>
      <x:c r="I356" s="40" t="str">
        <x:f>IF(E356="Concluído","Concluído",IF(A356&lt;TODAY(),"Atrasado",IF(A356=TODAY(),"Hoje","Futuro")))</x:f>
        <x:v>Futuro</x:v>
      </x:c>
      <x:c r="J356" s="43" t="n">
        <x:f>IF(OR(E356="Concluído",A356&gt;=TODAY()),0,TODAY()-A356)</x:f>
        <x:v>0</x:v>
      </x:c>
      <x:c r="K356" s="40" t="str"/>
    </x:row>
    <x:row r="357">
      <x:c r="A357" s="34" t="n">
        <x:v>46305</x:v>
      </x:c>
      <x:c r="B357" s="40" t="str">
        <x:v>Banco de Dados</x:v>
      </x:c>
      <x:c r="C357" s="40" t="str">
        <x:v>10 - Banco de Dados - Mapeamento ER Relacional II</x:v>
      </x:c>
      <x:c r="D357" s="40" t="str">
        <x:v>Videoaula</x:v>
      </x:c>
      <x:c r="E357" s="40" t="str">
        <x:v>Não iniciado</x:v>
      </x:c>
      <x:c r="F357" s="41" t="str"/>
      <x:c r="G357" s="42" t="str"/>
      <x:c r="H357" s="40" t="str">
        <x:v>Normal</x:v>
      </x:c>
      <x:c r="I357" s="40" t="str">
        <x:f>IF(E357="Concluído","Concluído",IF(A357&lt;TODAY(),"Atrasado",IF(A357=TODAY(),"Hoje","Futuro")))</x:f>
        <x:v>Futuro</x:v>
      </x:c>
      <x:c r="J357" s="43" t="n">
        <x:f>IF(OR(E357="Concluído",A357&gt;=TODAY()),0,TODAY()-A357)</x:f>
        <x:v>0</x:v>
      </x:c>
      <x:c r="K357" s="40" t="str"/>
    </x:row>
    <x:row r="358">
      <x:c r="A358" s="34" t="n">
        <x:v>46305</x:v>
      </x:c>
      <x:c r="B358" s="40" t="str">
        <x:v>Banco de Dados</x:v>
      </x:c>
      <x:c r="C358" s="40" t="str">
        <x:v>11 - Banco de Dados - Normalização</x:v>
      </x:c>
      <x:c r="D358" s="40" t="str">
        <x:v>Videoaula</x:v>
      </x:c>
      <x:c r="E358" s="40" t="str">
        <x:v>Não iniciado</x:v>
      </x:c>
      <x:c r="F358" s="41" t="str"/>
      <x:c r="G358" s="42" t="str"/>
      <x:c r="H358" s="40" t="str">
        <x:v>Normal</x:v>
      </x:c>
      <x:c r="I358" s="40" t="str">
        <x:f>IF(E358="Concluído","Concluído",IF(A358&lt;TODAY(),"Atrasado",IF(A358=TODAY(),"Hoje","Futuro")))</x:f>
        <x:v>Futuro</x:v>
      </x:c>
      <x:c r="J358" s="43" t="n">
        <x:f>IF(OR(E358="Concluído",A358&gt;=TODAY()),0,TODAY()-A358)</x:f>
        <x:v>0</x:v>
      </x:c>
      <x:c r="K358" s="40" t="str"/>
    </x:row>
    <x:row r="359">
      <x:c r="A359" s="34" t="n">
        <x:v>46306</x:v>
      </x:c>
      <x:c r="B359" s="40" t="str">
        <x:v>Banco de Dados</x:v>
      </x:c>
      <x:c r="C359" s="40" t="str">
        <x:v>11 - Banco de Dados - Normalização</x:v>
      </x:c>
      <x:c r="D359" s="40" t="str">
        <x:v>Videoaula</x:v>
      </x:c>
      <x:c r="E359" s="40" t="str">
        <x:v>Não iniciado</x:v>
      </x:c>
      <x:c r="F359" s="41" t="str"/>
      <x:c r="G359" s="42" t="str"/>
      <x:c r="H359" s="40" t="str">
        <x:v>Normal</x:v>
      </x:c>
      <x:c r="I359" s="40" t="str">
        <x:f>IF(E359="Concluído","Concluído",IF(A359&lt;TODAY(),"Atrasado",IF(A359=TODAY(),"Hoje","Futuro")))</x:f>
        <x:v>Futuro</x:v>
      </x:c>
      <x:c r="J359" s="43" t="n">
        <x:f>IF(OR(E359="Concluído",A359&gt;=TODAY()),0,TODAY()-A359)</x:f>
        <x:v>0</x:v>
      </x:c>
      <x:c r="K359" s="40" t="str"/>
    </x:row>
    <x:row r="360">
      <x:c r="A360" s="34" t="n">
        <x:v>46306</x:v>
      </x:c>
      <x:c r="B360" s="40" t="str">
        <x:v>Língua Portuguesa</x:v>
      </x:c>
      <x:c r="C360" s="40" t="str">
        <x:v>2 - A Sintaxe do Período Simples - Parte II</x:v>
      </x:c>
      <x:c r="D360" s="40" t="str">
        <x:v>Pdf</x:v>
      </x:c>
      <x:c r="E360" s="40" t="str">
        <x:v>Não iniciado</x:v>
      </x:c>
      <x:c r="F360" s="41" t="str"/>
      <x:c r="G360" s="42" t="str"/>
      <x:c r="H360" s="40" t="str">
        <x:v>Normal</x:v>
      </x:c>
      <x:c r="I360" s="40" t="str">
        <x:f>IF(E360="Concluído","Concluído",IF(A360&lt;TODAY(),"Atrasado",IF(A360=TODAY(),"Hoje","Futuro")))</x:f>
        <x:v>Futuro</x:v>
      </x:c>
      <x:c r="J360" s="43" t="n">
        <x:f>IF(OR(E360="Concluído",A360&gt;=TODAY()),0,TODAY()-A360)</x:f>
        <x:v>0</x:v>
      </x:c>
      <x:c r="K360" s="40" t="str"/>
    </x:row>
    <x:row r="361">
      <x:c r="A361" s="34" t="n">
        <x:v>46306</x:v>
      </x:c>
      <x:c r="B361" s="40" t="str">
        <x:v>Revisão</x:v>
      </x:c>
      <x:c r="C361" s="40" t="str">
        <x:v>Revisão</x:v>
      </x:c>
      <x:c r="D361" s="40" t="str">
        <x:v>Revisao</x:v>
      </x:c>
      <x:c r="E361" s="40" t="str">
        <x:v>Não iniciado</x:v>
      </x:c>
      <x:c r="F361" s="41" t="str"/>
      <x:c r="G361" s="42" t="str"/>
      <x:c r="H361" s="40" t="str">
        <x:v>Normal</x:v>
      </x:c>
      <x:c r="I361" s="40" t="str">
        <x:f>IF(E361="Concluído","Concluído",IF(A361&lt;TODAY(),"Atrasado",IF(A361=TODAY(),"Hoje","Futuro")))</x:f>
        <x:v>Futuro</x:v>
      </x:c>
      <x:c r="J361" s="43" t="n">
        <x:f>IF(OR(E361="Concluído",A361&gt;=TODAY()),0,TODAY()-A361)</x:f>
        <x:v>0</x:v>
      </x:c>
      <x:c r="K361" s="40" t="str"/>
    </x:row>
    <x:row r="362">
      <x:c r="A362" s="34" t="n">
        <x:v>46307</x:v>
      </x:c>
      <x:c r="B362" s="40" t="str">
        <x:v>Língua Portuguesa</x:v>
      </x:c>
      <x:c r="C362" s="40" t="str">
        <x:v>2 - A Sintaxe do Período Simples - Parte II</x:v>
      </x:c>
      <x:c r="D362" s="40" t="str">
        <x:v>Pdf</x:v>
      </x:c>
      <x:c r="E362" s="40" t="str">
        <x:v>Não iniciado</x:v>
      </x:c>
      <x:c r="F362" s="41" t="str"/>
      <x:c r="G362" s="42" t="str"/>
      <x:c r="H362" s="40" t="str">
        <x:v>Normal</x:v>
      </x:c>
      <x:c r="I362" s="40" t="str">
        <x:f>IF(E362="Concluído","Concluído",IF(A362&lt;TODAY(),"Atrasado",IF(A362=TODAY(),"Hoje","Futuro")))</x:f>
        <x:v>Futuro</x:v>
      </x:c>
      <x:c r="J362" s="43" t="n">
        <x:f>IF(OR(E362="Concluído",A362&gt;=TODAY()),0,TODAY()-A362)</x:f>
        <x:v>0</x:v>
      </x:c>
      <x:c r="K362" s="40" t="str"/>
    </x:row>
    <x:row r="363">
      <x:c r="A363" s="34" t="n">
        <x:v>46307</x:v>
      </x:c>
      <x:c r="B363" s="40" t="str">
        <x:v>Inteligência Emocional</x:v>
      </x:c>
      <x:c r="C363" s="40" t="str">
        <x:v>13 - ELO 13: Os 6 Pilares da Autoestima</x:v>
      </x:c>
      <x:c r="D363" s="40" t="str">
        <x:v>Pdf</x:v>
      </x:c>
      <x:c r="E363" s="40" t="str">
        <x:v>Não iniciado</x:v>
      </x:c>
      <x:c r="F363" s="41" t="str"/>
      <x:c r="G363" s="42" t="str"/>
      <x:c r="H363" s="40" t="str">
        <x:v>Normal</x:v>
      </x:c>
      <x:c r="I363" s="40" t="str">
        <x:f>IF(E363="Concluído","Concluído",IF(A363&lt;TODAY(),"Atrasado",IF(A363=TODAY(),"Hoje","Futuro")))</x:f>
        <x:v>Futuro</x:v>
      </x:c>
      <x:c r="J363" s="43" t="n">
        <x:f>IF(OR(E363="Concluído",A363&gt;=TODAY()),0,TODAY()-A363)</x:f>
        <x:v>0</x:v>
      </x:c>
      <x:c r="K363" s="40" t="str"/>
    </x:row>
    <x:row r="364">
      <x:c r="A364" s="34" t="n">
        <x:v>46307</x:v>
      </x:c>
      <x:c r="B364" s="40" t="str">
        <x:v>Língua Portuguesa</x:v>
      </x:c>
      <x:c r="C364" s="40" t="str">
        <x:v>26 - Resolução de Provas</x:v>
      </x:c>
      <x:c r="D364" s="40" t="str">
        <x:v>Videoaula</x:v>
      </x:c>
      <x:c r="E364" s="40" t="str">
        <x:v>Não iniciado</x:v>
      </x:c>
      <x:c r="F364" s="41" t="str"/>
      <x:c r="G364" s="42" t="str"/>
      <x:c r="H364" s="40" t="str">
        <x:v>Normal</x:v>
      </x:c>
      <x:c r="I364" s="40" t="str">
        <x:f>IF(E364="Concluído","Concluído",IF(A364&lt;TODAY(),"Atrasado",IF(A364=TODAY(),"Hoje","Futuro")))</x:f>
        <x:v>Futuro</x:v>
      </x:c>
      <x:c r="J364" s="43" t="n">
        <x:f>IF(OR(E364="Concluído",A364&gt;=TODAY()),0,TODAY()-A364)</x:f>
        <x:v>0</x:v>
      </x:c>
      <x:c r="K364" s="40" t="str"/>
    </x:row>
    <x:row r="365">
      <x:c r="A365" s="34" t="n">
        <x:v>46308</x:v>
      </x:c>
      <x:c r="B365" s="40" t="str">
        <x:v>Língua Portuguesa</x:v>
      </x:c>
      <x:c r="C365" s="40" t="str">
        <x:v>26 - Resolução de Provas</x:v>
      </x:c>
      <x:c r="D365" s="40" t="str">
        <x:v>Videoaula</x:v>
      </x:c>
      <x:c r="E365" s="40" t="str">
        <x:v>Não iniciado</x:v>
      </x:c>
      <x:c r="F365" s="41" t="str"/>
      <x:c r="G365" s="42" t="str"/>
      <x:c r="H365" s="40" t="str">
        <x:v>Normal</x:v>
      </x:c>
      <x:c r="I365" s="40" t="str">
        <x:f>IF(E365="Concluído","Concluído",IF(A365&lt;TODAY(),"Atrasado",IF(A365=TODAY(),"Hoje","Futuro")))</x:f>
        <x:v>Futuro</x:v>
      </x:c>
      <x:c r="J365" s="43" t="n">
        <x:f>IF(OR(E365="Concluído",A365&gt;=TODAY()),0,TODAY()-A365)</x:f>
        <x:v>0</x:v>
      </x:c>
      <x:c r="K365" s="40" t="str"/>
    </x:row>
    <x:row r="366">
      <x:c r="A366" s="34" t="n">
        <x:v>46308</x:v>
      </x:c>
      <x:c r="B366" s="40" t="str">
        <x:v>Língua Portuguesa</x:v>
      </x:c>
      <x:c r="C366" s="40" t="str">
        <x:v>27 - Resolução de Provas</x:v>
      </x:c>
      <x:c r="D366" s="40" t="str">
        <x:v>Videoaula</x:v>
      </x:c>
      <x:c r="E366" s="40" t="str">
        <x:v>Não iniciado</x:v>
      </x:c>
      <x:c r="F366" s="41" t="str"/>
      <x:c r="G366" s="42" t="str"/>
      <x:c r="H366" s="40" t="str">
        <x:v>Normal</x:v>
      </x:c>
      <x:c r="I366" s="40" t="str">
        <x:f>IF(E366="Concluído","Concluído",IF(A366&lt;TODAY(),"Atrasado",IF(A366=TODAY(),"Hoje","Futuro")))</x:f>
        <x:v>Futuro</x:v>
      </x:c>
      <x:c r="J366" s="43" t="n">
        <x:f>IF(OR(E366="Concluído",A366&gt;=TODAY()),0,TODAY()-A366)</x:f>
        <x:v>0</x:v>
      </x:c>
      <x:c r="K366" s="40" t="str"/>
    </x:row>
    <x:row r="367">
      <x:c r="A367" s="34" t="n">
        <x:v>46308</x:v>
      </x:c>
      <x:c r="B367" s="40" t="str">
        <x:v>Língua Inglesa</x:v>
      </x:c>
      <x:c r="C367" s="40" t="str">
        <x:v>26 - For Taxpayer Advicate, a Familiar Refrain III</x:v>
      </x:c>
      <x:c r="D367" s="40" t="str">
        <x:v>Videoaula</x:v>
      </x:c>
      <x:c r="E367" s="40" t="str">
        <x:v>Não iniciado</x:v>
      </x:c>
      <x:c r="F367" s="41" t="str"/>
      <x:c r="G367" s="42" t="str"/>
      <x:c r="H367" s="40" t="str">
        <x:v>Normal</x:v>
      </x:c>
      <x:c r="I367" s="40" t="str">
        <x:f>IF(E367="Concluído","Concluído",IF(A367&lt;TODAY(),"Atrasado",IF(A367=TODAY(),"Hoje","Futuro")))</x:f>
        <x:v>Futuro</x:v>
      </x:c>
      <x:c r="J367" s="43" t="n">
        <x:f>IF(OR(E367="Concluído",A367&gt;=TODAY()),0,TODAY()-A367)</x:f>
        <x:v>0</x:v>
      </x:c>
      <x:c r="K367" s="40" t="str"/>
    </x:row>
    <x:row r="368">
      <x:c r="A368" s="34" t="n">
        <x:v>46308</x:v>
      </x:c>
      <x:c r="B368" s="40" t="str">
        <x:v>Língua Inglesa</x:v>
      </x:c>
      <x:c r="C368" s="40" t="str">
        <x:v>27 - How Trade Can Become a Gateway</x:v>
      </x:c>
      <x:c r="D368" s="40" t="str">
        <x:v>Videoaula</x:v>
      </x:c>
      <x:c r="E368" s="40" t="str">
        <x:v>Não iniciado</x:v>
      </x:c>
      <x:c r="F368" s="41" t="str"/>
      <x:c r="G368" s="42" t="str"/>
      <x:c r="H368" s="40" t="str">
        <x:v>Normal</x:v>
      </x:c>
      <x:c r="I368" s="40" t="str">
        <x:f>IF(E368="Concluído","Concluído",IF(A368&lt;TODAY(),"Atrasado",IF(A368=TODAY(),"Hoje","Futuro")))</x:f>
        <x:v>Futuro</x:v>
      </x:c>
      <x:c r="J368" s="43" t="n">
        <x:f>IF(OR(E368="Concluído",A368&gt;=TODAY()),0,TODAY()-A368)</x:f>
        <x:v>0</x:v>
      </x:c>
      <x:c r="K368" s="40" t="str"/>
    </x:row>
    <x:row r="369">
      <x:c r="A369" s="34" t="n">
        <x:v>46308</x:v>
      </x:c>
      <x:c r="B369" s="40" t="str">
        <x:v>Raciocínio Lógico</x:v>
      </x:c>
      <x:c r="C369" s="40" t="str">
        <x:v>2 - Resolução de Problemas Matriciais, Geométricos e Aritméticos II</x:v>
      </x:c>
      <x:c r="D369" s="40" t="str">
        <x:v>Videoaula</x:v>
      </x:c>
      <x:c r="E369" s="40" t="str">
        <x:v>Não iniciado</x:v>
      </x:c>
      <x:c r="F369" s="41" t="str"/>
      <x:c r="G369" s="42" t="str"/>
      <x:c r="H369" s="40" t="str">
        <x:v>Normal</x:v>
      </x:c>
      <x:c r="I369" s="40" t="str">
        <x:f>IF(E369="Concluído","Concluído",IF(A369&lt;TODAY(),"Atrasado",IF(A369=TODAY(),"Hoje","Futuro")))</x:f>
        <x:v>Futuro</x:v>
      </x:c>
      <x:c r="J369" s="43" t="n">
        <x:f>IF(OR(E369="Concluído",A369&gt;=TODAY()),0,TODAY()-A369)</x:f>
        <x:v>0</x:v>
      </x:c>
      <x:c r="K369" s="40" t="str"/>
    </x:row>
    <x:row r="370">
      <x:c r="A370" s="34" t="n">
        <x:v>46309</x:v>
      </x:c>
      <x:c r="B370" s="40" t="str">
        <x:v>Raciocínio Lógico</x:v>
      </x:c>
      <x:c r="C370" s="40" t="str">
        <x:v>2 - Resolução de Problemas Matriciais, Geométricos e Aritméticos II</x:v>
      </x:c>
      <x:c r="D370" s="40" t="str">
        <x:v>Videoaula</x:v>
      </x:c>
      <x:c r="E370" s="40" t="str">
        <x:v>Não iniciado</x:v>
      </x:c>
      <x:c r="F370" s="41" t="str"/>
      <x:c r="G370" s="42" t="str"/>
      <x:c r="H370" s="40" t="str">
        <x:v>Normal</x:v>
      </x:c>
      <x:c r="I370" s="40" t="str">
        <x:f>IF(E370="Concluído","Concluído",IF(A370&lt;TODAY(),"Atrasado",IF(A370=TODAY(),"Hoje","Futuro")))</x:f>
        <x:v>Futuro</x:v>
      </x:c>
      <x:c r="J370" s="43" t="n">
        <x:f>IF(OR(E370="Concluído",A370&gt;=TODAY()),0,TODAY()-A370)</x:f>
        <x:v>0</x:v>
      </x:c>
      <x:c r="K370" s="40" t="str"/>
    </x:row>
    <x:row r="371">
      <x:c r="A371" s="34" t="n">
        <x:v>46309</x:v>
      </x:c>
      <x:c r="B371" s="40" t="str">
        <x:v>Raciocínio Lógico</x:v>
      </x:c>
      <x:c r="C371" s="40" t="str">
        <x:v>3 - Resolução de Problemas Matriciais, Geométricos e Aritméticos III</x:v>
      </x:c>
      <x:c r="D371" s="40" t="str">
        <x:v>Videoaula</x:v>
      </x:c>
      <x:c r="E371" s="40" t="str">
        <x:v>Não iniciado</x:v>
      </x:c>
      <x:c r="F371" s="41" t="str"/>
      <x:c r="G371" s="42" t="str"/>
      <x:c r="H371" s="40" t="str">
        <x:v>Normal</x:v>
      </x:c>
      <x:c r="I371" s="40" t="str">
        <x:f>IF(E371="Concluído","Concluído",IF(A371&lt;TODAY(),"Atrasado",IF(A371=TODAY(),"Hoje","Futuro")))</x:f>
        <x:v>Futuro</x:v>
      </x:c>
      <x:c r="J371" s="43" t="n">
        <x:f>IF(OR(E371="Concluído",A371&gt;=TODAY()),0,TODAY()-A371)</x:f>
        <x:v>0</x:v>
      </x:c>
      <x:c r="K371" s="40" t="str"/>
    </x:row>
    <x:row r="372">
      <x:c r="A372" s="34" t="n">
        <x:v>46309</x:v>
      </x:c>
      <x:c r="B372" s="40" t="str">
        <x:v>Atualidades e Inteligência Artificial</x:v>
      </x:c>
      <x:c r="C372" s="40" t="str">
        <x:v>26 - Política Brasil III</x:v>
      </x:c>
      <x:c r="D372" s="40" t="str">
        <x:v>Videoaula</x:v>
      </x:c>
      <x:c r="E372" s="40" t="str">
        <x:v>Não iniciado</x:v>
      </x:c>
      <x:c r="F372" s="41" t="str"/>
      <x:c r="G372" s="42" t="str"/>
      <x:c r="H372" s="40" t="str">
        <x:v>Normal</x:v>
      </x:c>
      <x:c r="I372" s="40" t="str">
        <x:f>IF(E372="Concluído","Concluído",IF(A372&lt;TODAY(),"Atrasado",IF(A372=TODAY(),"Hoje","Futuro")))</x:f>
        <x:v>Futuro</x:v>
      </x:c>
      <x:c r="J372" s="43" t="n">
        <x:f>IF(OR(E372="Concluído",A372&gt;=TODAY()),0,TODAY()-A372)</x:f>
        <x:v>0</x:v>
      </x:c>
      <x:c r="K372" s="40" t="str"/>
    </x:row>
    <x:row r="373">
      <x:c r="A373" s="34" t="n">
        <x:v>46309</x:v>
      </x:c>
      <x:c r="B373" s="40" t="str">
        <x:v>Atualidades e Inteligência Artificial</x:v>
      </x:c>
      <x:c r="C373" s="40" t="str">
        <x:v>27 - Blocos Econômicos</x:v>
      </x:c>
      <x:c r="D373" s="40" t="str">
        <x:v>Videoaula</x:v>
      </x:c>
      <x:c r="E373" s="40" t="str">
        <x:v>Não iniciado</x:v>
      </x:c>
      <x:c r="F373" s="41" t="str"/>
      <x:c r="G373" s="42" t="str"/>
      <x:c r="H373" s="40" t="str">
        <x:v>Normal</x:v>
      </x:c>
      <x:c r="I373" s="40" t="str">
        <x:f>IF(E373="Concluído","Concluído",IF(A373&lt;TODAY(),"Atrasado",IF(A373=TODAY(),"Hoje","Futuro")))</x:f>
        <x:v>Futuro</x:v>
      </x:c>
      <x:c r="J373" s="43" t="n">
        <x:f>IF(OR(E373="Concluído",A373&gt;=TODAY()),0,TODAY()-A373)</x:f>
        <x:v>0</x:v>
      </x:c>
      <x:c r="K373" s="40" t="str"/>
    </x:row>
    <x:row r="374">
      <x:c r="A374" s="34" t="n">
        <x:v>46310</x:v>
      </x:c>
      <x:c r="B374" s="40" t="str">
        <x:v>Atualidades e Inteligência Artificial</x:v>
      </x:c>
      <x:c r="C374" s="40" t="str">
        <x:v>27 - Blocos Econômicos</x:v>
      </x:c>
      <x:c r="D374" s="40" t="str">
        <x:v>Videoaula</x:v>
      </x:c>
      <x:c r="E374" s="40" t="str">
        <x:v>Não iniciado</x:v>
      </x:c>
      <x:c r="F374" s="41" t="str"/>
      <x:c r="G374" s="42" t="str"/>
      <x:c r="H374" s="40" t="str">
        <x:v>Normal</x:v>
      </x:c>
      <x:c r="I374" s="40" t="str">
        <x:f>IF(E374="Concluído","Concluído",IF(A374&lt;TODAY(),"Atrasado",IF(A374=TODAY(),"Hoje","Futuro")))</x:f>
        <x:v>Futuro</x:v>
      </x:c>
      <x:c r="J374" s="43" t="n">
        <x:f>IF(OR(E374="Concluído",A374&gt;=TODAY()),0,TODAY()-A374)</x:f>
        <x:v>0</x:v>
      </x:c>
      <x:c r="K374" s="40" t="str"/>
    </x:row>
    <x:row r="375">
      <x:c r="A375" s="34" t="n">
        <x:v>46310</x:v>
      </x:c>
      <x:c r="B375" s="40" t="str">
        <x:v>Legislação Acerca de Segurança da Informação e Proteção de Dados</x:v>
      </x:c>
      <x:c r="C375" s="40" t="str">
        <x:v>5 - Lei nº 13.709/2018 - Lei Geral de Proteção de Dados Pessoais - LGPD V</x:v>
      </x:c>
      <x:c r="D375" s="40" t="str">
        <x:v>Videoaula</x:v>
      </x:c>
      <x:c r="E375" s="40" t="str">
        <x:v>Não iniciado</x:v>
      </x:c>
      <x:c r="F375" s="41" t="str"/>
      <x:c r="G375" s="42" t="str"/>
      <x:c r="H375" s="40" t="str">
        <x:v>Normal</x:v>
      </x:c>
      <x:c r="I375" s="40" t="str">
        <x:f>IF(E375="Concluído","Concluído",IF(A375&lt;TODAY(),"Atrasado",IF(A375=TODAY(),"Hoje","Futuro")))</x:f>
        <x:v>Futuro</x:v>
      </x:c>
      <x:c r="J375" s="43" t="n">
        <x:f>IF(OR(E375="Concluído",A375&gt;=TODAY()),0,TODAY()-A375)</x:f>
        <x:v>0</x:v>
      </x:c>
      <x:c r="K375" s="40" t="str"/>
    </x:row>
    <x:row r="376">
      <x:c r="A376" s="34" t="n">
        <x:v>46310</x:v>
      </x:c>
      <x:c r="B376" s="40" t="str">
        <x:v>Legislação Acerca de Segurança da Informação e Proteção de Dados</x:v>
      </x:c>
      <x:c r="C376" s="40" t="str">
        <x:v>6 - Lei nº 13.709/2018 - Lei Geral de Proteção de Dados Pessoais - LGPD VI</x:v>
      </x:c>
      <x:c r="D376" s="40" t="str">
        <x:v>Videoaula</x:v>
      </x:c>
      <x:c r="E376" s="40" t="str">
        <x:v>Não iniciado</x:v>
      </x:c>
      <x:c r="F376" s="41" t="str"/>
      <x:c r="G376" s="42" t="str"/>
      <x:c r="H376" s="40" t="str">
        <x:v>Normal</x:v>
      </x:c>
      <x:c r="I376" s="40" t="str">
        <x:f>IF(E376="Concluído","Concluído",IF(A376&lt;TODAY(),"Atrasado",IF(A376=TODAY(),"Hoje","Futuro")))</x:f>
        <x:v>Futuro</x:v>
      </x:c>
      <x:c r="J376" s="43" t="n">
        <x:f>IF(OR(E376="Concluído",A376&gt;=TODAY()),0,TODAY()-A376)</x:f>
        <x:v>0</x:v>
      </x:c>
      <x:c r="K376" s="40" t="str"/>
    </x:row>
    <x:row r="377">
      <x:c r="A377" s="34" t="n">
        <x:v>46310</x:v>
      </x:c>
      <x:c r="B377" s="40" t="str">
        <x:v>Gestão e Governança de Tecnologia da Informação</x:v>
      </x:c>
      <x:c r="C377" s="40" t="str">
        <x:v>10 - Instrução Normativa SGD/ME nº 94/2022 - Contratação de Soluções de Tecnologia da Informação e Comunicação - TIC X</x:v>
      </x:c>
      <x:c r="D377" s="40" t="str">
        <x:v>Videoaula</x:v>
      </x:c>
      <x:c r="E377" s="40" t="str">
        <x:v>Não iniciado</x:v>
      </x:c>
      <x:c r="F377" s="41" t="str"/>
      <x:c r="G377" s="42" t="str"/>
      <x:c r="H377" s="40" t="str">
        <x:v>Normal</x:v>
      </x:c>
      <x:c r="I377" s="40" t="str">
        <x:f>IF(E377="Concluído","Concluído",IF(A377&lt;TODAY(),"Atrasado",IF(A377=TODAY(),"Hoje","Futuro")))</x:f>
        <x:v>Futuro</x:v>
      </x:c>
      <x:c r="J377" s="43" t="n">
        <x:f>IF(OR(E377="Concluído",A377&gt;=TODAY()),0,TODAY()-A377)</x:f>
        <x:v>0</x:v>
      </x:c>
      <x:c r="K377" s="40" t="str"/>
    </x:row>
    <x:row r="378">
      <x:c r="A378" s="34" t="n">
        <x:v>46310</x:v>
      </x:c>
      <x:c r="B378" s="40" t="str">
        <x:v>Gestão e Governança de Tecnologia da Informação</x:v>
      </x:c>
      <x:c r="C378" s="40" t="str">
        <x:v>11 - Instrução Normativa SGD/ME nº 94/2022 - Contratação de Soluções de Tecnologia da Informação e Comunicação - TIC XI</x:v>
      </x:c>
      <x:c r="D378" s="40" t="str">
        <x:v>Videoaula</x:v>
      </x:c>
      <x:c r="E378" s="40" t="str">
        <x:v>Não iniciado</x:v>
      </x:c>
      <x:c r="F378" s="41" t="str"/>
      <x:c r="G378" s="42" t="str"/>
      <x:c r="H378" s="40" t="str">
        <x:v>Normal</x:v>
      </x:c>
      <x:c r="I378" s="40" t="str">
        <x:f>IF(E378="Concluído","Concluído",IF(A378&lt;TODAY(),"Atrasado",IF(A378=TODAY(),"Hoje","Futuro")))</x:f>
        <x:v>Futuro</x:v>
      </x:c>
      <x:c r="J378" s="43" t="n">
        <x:f>IF(OR(E378="Concluído",A378&gt;=TODAY()),0,TODAY()-A378)</x:f>
        <x:v>0</x:v>
      </x:c>
      <x:c r="K378" s="40" t="str"/>
    </x:row>
    <x:row r="379">
      <x:c r="A379" s="34" t="n">
        <x:v>46311</x:v>
      </x:c>
      <x:c r="B379" s="40" t="str">
        <x:v>Gestão e Governança de Tecnologia da Informação</x:v>
      </x:c>
      <x:c r="C379" s="40" t="str">
        <x:v>11 - Instrução Normativa SGD/ME nº 94/2022 - Contratação de Soluções de Tecnologia da Informação e Comunicação - TIC XI</x:v>
      </x:c>
      <x:c r="D379" s="40" t="str">
        <x:v>Videoaula</x:v>
      </x:c>
      <x:c r="E379" s="40" t="str">
        <x:v>Não iniciado</x:v>
      </x:c>
      <x:c r="F379" s="41" t="str"/>
      <x:c r="G379" s="42" t="str"/>
      <x:c r="H379" s="40" t="str">
        <x:v>Normal</x:v>
      </x:c>
      <x:c r="I379" s="40" t="str">
        <x:f>IF(E379="Concluído","Concluído",IF(A379&lt;TODAY(),"Atrasado",IF(A379=TODAY(),"Hoje","Futuro")))</x:f>
        <x:v>Futuro</x:v>
      </x:c>
      <x:c r="J379" s="43" t="n">
        <x:f>IF(OR(E379="Concluído",A379&gt;=TODAY()),0,TODAY()-A379)</x:f>
        <x:v>0</x:v>
      </x:c>
      <x:c r="K379" s="40" t="str"/>
    </x:row>
    <x:row r="380">
      <x:c r="A380" s="34" t="n">
        <x:v>46311</x:v>
      </x:c>
      <x:c r="B380" s="40" t="str">
        <x:v>Banco de Dados</x:v>
      </x:c>
      <x:c r="C380" s="40" t="str">
        <x:v>12 - Banco de Dados - Normalização II</x:v>
      </x:c>
      <x:c r="D380" s="40" t="str">
        <x:v>Videoaula</x:v>
      </x:c>
      <x:c r="E380" s="40" t="str">
        <x:v>Não iniciado</x:v>
      </x:c>
      <x:c r="F380" s="41" t="str"/>
      <x:c r="G380" s="42" t="str"/>
      <x:c r="H380" s="40" t="str">
        <x:v>Normal</x:v>
      </x:c>
      <x:c r="I380" s="40" t="str">
        <x:f>IF(E380="Concluído","Concluído",IF(A380&lt;TODAY(),"Atrasado",IF(A380=TODAY(),"Hoje","Futuro")))</x:f>
        <x:v>Futuro</x:v>
      </x:c>
      <x:c r="J380" s="43" t="n">
        <x:f>IF(OR(E380="Concluído",A380&gt;=TODAY()),0,TODAY()-A380)</x:f>
        <x:v>0</x:v>
      </x:c>
      <x:c r="K380" s="40" t="str"/>
    </x:row>
    <x:row r="381">
      <x:c r="A381" s="34" t="n">
        <x:v>46311</x:v>
      </x:c>
      <x:c r="B381" s="40" t="str">
        <x:v>Banco de Dados</x:v>
      </x:c>
      <x:c r="C381" s="40" t="str">
        <x:v>13 - Banco de Dados - Normalização - Exercícios</x:v>
      </x:c>
      <x:c r="D381" s="40" t="str">
        <x:v>Videoaula</x:v>
      </x:c>
      <x:c r="E381" s="40" t="str">
        <x:v>Não iniciado</x:v>
      </x:c>
      <x:c r="F381" s="41" t="str"/>
      <x:c r="G381" s="42" t="str"/>
      <x:c r="H381" s="40" t="str">
        <x:v>Normal</x:v>
      </x:c>
      <x:c r="I381" s="40" t="str">
        <x:f>IF(E381="Concluído","Concluído",IF(A381&lt;TODAY(),"Atrasado",IF(A381=TODAY(),"Hoje","Futuro")))</x:f>
        <x:v>Futuro</x:v>
      </x:c>
      <x:c r="J381" s="43" t="n">
        <x:f>IF(OR(E381="Concluído",A381&gt;=TODAY()),0,TODAY()-A381)</x:f>
        <x:v>0</x:v>
      </x:c>
      <x:c r="K381" s="40" t="str"/>
    </x:row>
    <x:row r="382">
      <x:c r="A382" s="34" t="n">
        <x:v>46311</x:v>
      </x:c>
      <x:c r="B382" s="40" t="str">
        <x:v>Língua Portuguesa</x:v>
      </x:c>
      <x:c r="C382" s="40" t="str">
        <x:v>3 - Domínio da Estrutura Morfossintática do Período</x:v>
      </x:c>
      <x:c r="D382" s="40" t="str">
        <x:v>Pdf</x:v>
      </x:c>
      <x:c r="E382" s="40" t="str">
        <x:v>Não iniciado</x:v>
      </x:c>
      <x:c r="F382" s="41" t="str"/>
      <x:c r="G382" s="42" t="str"/>
      <x:c r="H382" s="40" t="str">
        <x:v>Normal</x:v>
      </x:c>
      <x:c r="I382" s="40" t="str">
        <x:f>IF(E382="Concluído","Concluído",IF(A382&lt;TODAY(),"Atrasado",IF(A382=TODAY(),"Hoje","Futuro")))</x:f>
        <x:v>Futuro</x:v>
      </x:c>
      <x:c r="J382" s="43" t="n">
        <x:f>IF(OR(E382="Concluído",A382&gt;=TODAY()),0,TODAY()-A382)</x:f>
        <x:v>0</x:v>
      </x:c>
      <x:c r="K382" s="40" t="str"/>
    </x:row>
    <x:row r="383">
      <x:c r="A383" s="34" t="n">
        <x:v>46311</x:v>
      </x:c>
      <x:c r="B383" s="40" t="str">
        <x:v>Inteligência Emocional</x:v>
      </x:c>
      <x:c r="C383" s="40" t="str">
        <x:v>14 - ELO 14: Autocompaixão: a Valorização da Autoestima</x:v>
      </x:c>
      <x:c r="D383" s="40" t="str">
        <x:v>Pdf</x:v>
      </x:c>
      <x:c r="E383" s="40" t="str">
        <x:v>Não iniciado</x:v>
      </x:c>
      <x:c r="F383" s="41" t="str"/>
      <x:c r="G383" s="42" t="str"/>
      <x:c r="H383" s="40" t="str">
        <x:v>Normal</x:v>
      </x:c>
      <x:c r="I383" s="40" t="str">
        <x:f>IF(E383="Concluído","Concluído",IF(A383&lt;TODAY(),"Atrasado",IF(A383=TODAY(),"Hoje","Futuro")))</x:f>
        <x:v>Futuro</x:v>
      </x:c>
      <x:c r="J383" s="43" t="n">
        <x:f>IF(OR(E383="Concluído",A383&gt;=TODAY()),0,TODAY()-A383)</x:f>
        <x:v>0</x:v>
      </x:c>
      <x:c r="K383" s="40" t="str"/>
    </x:row>
    <x:row r="384">
      <x:c r="A384" s="34" t="n">
        <x:v>46312</x:v>
      </x:c>
      <x:c r="B384" s="40" t="str">
        <x:v>Inteligência Emocional</x:v>
      </x:c>
      <x:c r="C384" s="40" t="str">
        <x:v>14 - ELO 14: Autocompaixão: a Valorização da Autoestima</x:v>
      </x:c>
      <x:c r="D384" s="40" t="str">
        <x:v>Pdf</x:v>
      </x:c>
      <x:c r="E384" s="40" t="str">
        <x:v>Não iniciado</x:v>
      </x:c>
      <x:c r="F384" s="41" t="str"/>
      <x:c r="G384" s="42" t="str"/>
      <x:c r="H384" s="40" t="str">
        <x:v>Normal</x:v>
      </x:c>
      <x:c r="I384" s="40" t="str">
        <x:f>IF(E384="Concluído","Concluído",IF(A384&lt;TODAY(),"Atrasado",IF(A384=TODAY(),"Hoje","Futuro")))</x:f>
        <x:v>Futuro</x:v>
      </x:c>
      <x:c r="J384" s="43" t="n">
        <x:f>IF(OR(E384="Concluído",A384&gt;=TODAY()),0,TODAY()-A384)</x:f>
        <x:v>0</x:v>
      </x:c>
      <x:c r="K384" s="40" t="str"/>
    </x:row>
    <x:row r="385">
      <x:c r="A385" s="34" t="n">
        <x:v>46312</x:v>
      </x:c>
      <x:c r="B385" s="40" t="str">
        <x:v>Língua Portuguesa</x:v>
      </x:c>
      <x:c r="C385" s="40" t="str">
        <x:v>28 - Resolução de Provas</x:v>
      </x:c>
      <x:c r="D385" s="40" t="str">
        <x:v>Videoaula</x:v>
      </x:c>
      <x:c r="E385" s="40" t="str">
        <x:v>Não iniciado</x:v>
      </x:c>
      <x:c r="F385" s="41" t="str"/>
      <x:c r="G385" s="42" t="str"/>
      <x:c r="H385" s="40" t="str">
        <x:v>Normal</x:v>
      </x:c>
      <x:c r="I385" s="40" t="str">
        <x:f>IF(E385="Concluído","Concluído",IF(A385&lt;TODAY(),"Atrasado",IF(A385=TODAY(),"Hoje","Futuro")))</x:f>
        <x:v>Futuro</x:v>
      </x:c>
      <x:c r="J385" s="43" t="n">
        <x:f>IF(OR(E385="Concluído",A385&gt;=TODAY()),0,TODAY()-A385)</x:f>
        <x:v>0</x:v>
      </x:c>
      <x:c r="K385" s="40" t="str"/>
    </x:row>
    <x:row r="386">
      <x:c r="A386" s="34" t="n">
        <x:v>46312</x:v>
      </x:c>
      <x:c r="B386" s="40" t="str">
        <x:v>Língua Portuguesa</x:v>
      </x:c>
      <x:c r="C386" s="40" t="str">
        <x:v>1 - Apresentação</x:v>
      </x:c>
      <x:c r="D386" s="40" t="str">
        <x:v>Videoaula</x:v>
      </x:c>
      <x:c r="E386" s="40" t="str">
        <x:v>Não iniciado</x:v>
      </x:c>
      <x:c r="F386" s="41" t="str"/>
      <x:c r="G386" s="42" t="str"/>
      <x:c r="H386" s="40" t="str">
        <x:v>Normal</x:v>
      </x:c>
      <x:c r="I386" s="40" t="str">
        <x:f>IF(E386="Concluído","Concluído",IF(A386&lt;TODAY(),"Atrasado",IF(A386=TODAY(),"Hoje","Futuro")))</x:f>
        <x:v>Futuro</x:v>
      </x:c>
      <x:c r="J386" s="43" t="n">
        <x:f>IF(OR(E386="Concluído",A386&gt;=TODAY()),0,TODAY()-A386)</x:f>
        <x:v>0</x:v>
      </x:c>
      <x:c r="K386" s="40" t="str"/>
    </x:row>
    <x:row r="387">
      <x:c r="A387" s="34" t="n">
        <x:v>46312</x:v>
      </x:c>
      <x:c r="B387" s="40" t="str">
        <x:v>Língua Inglesa</x:v>
      </x:c>
      <x:c r="C387" s="40" t="str">
        <x:v>28 - How Trade Can Become a Gateway II</x:v>
      </x:c>
      <x:c r="D387" s="40" t="str">
        <x:v>Videoaula</x:v>
      </x:c>
      <x:c r="E387" s="40" t="str">
        <x:v>Não iniciado</x:v>
      </x:c>
      <x:c r="F387" s="41" t="str"/>
      <x:c r="G387" s="42" t="str"/>
      <x:c r="H387" s="40" t="str">
        <x:v>Normal</x:v>
      </x:c>
      <x:c r="I387" s="40" t="str">
        <x:f>IF(E387="Concluído","Concluído",IF(A387&lt;TODAY(),"Atrasado",IF(A387=TODAY(),"Hoje","Futuro")))</x:f>
        <x:v>Futuro</x:v>
      </x:c>
      <x:c r="J387" s="43" t="n">
        <x:f>IF(OR(E387="Concluído",A387&gt;=TODAY()),0,TODAY()-A387)</x:f>
        <x:v>0</x:v>
      </x:c>
      <x:c r="K387" s="40" t="str"/>
    </x:row>
    <x:row r="388">
      <x:c r="A388" s="34" t="n">
        <x:v>46312</x:v>
      </x:c>
      <x:c r="B388" s="40" t="str">
        <x:v>Língua Inglesa</x:v>
      </x:c>
      <x:c r="C388" s="40" t="str">
        <x:v>29 - A Free Press Needs You</x:v>
      </x:c>
      <x:c r="D388" s="40" t="str">
        <x:v>Videoaula</x:v>
      </x:c>
      <x:c r="E388" s="40" t="str">
        <x:v>Não iniciado</x:v>
      </x:c>
      <x:c r="F388" s="41" t="str"/>
      <x:c r="G388" s="42" t="str"/>
      <x:c r="H388" s="40" t="str">
        <x:v>Normal</x:v>
      </x:c>
      <x:c r="I388" s="40" t="str">
        <x:f>IF(E388="Concluído","Concluído",IF(A388&lt;TODAY(),"Atrasado",IF(A388=TODAY(),"Hoje","Futuro")))</x:f>
        <x:v>Futuro</x:v>
      </x:c>
      <x:c r="J388" s="43" t="n">
        <x:f>IF(OR(E388="Concluído",A388&gt;=TODAY()),0,TODAY()-A388)</x:f>
        <x:v>0</x:v>
      </x:c>
      <x:c r="K388" s="40" t="str"/>
    </x:row>
    <x:row r="389">
      <x:c r="A389" s="34" t="n">
        <x:v>46312</x:v>
      </x:c>
      <x:c r="B389" s="40" t="str">
        <x:v>Atualidades e Inteligência Artificial</x:v>
      </x:c>
      <x:c r="C389" s="40" t="str">
        <x:v>28 - Minerais Críticos</x:v>
      </x:c>
      <x:c r="D389" s="40" t="str">
        <x:v>Videoaula</x:v>
      </x:c>
      <x:c r="E389" s="40" t="str">
        <x:v>Não iniciado</x:v>
      </x:c>
      <x:c r="F389" s="41" t="str"/>
      <x:c r="G389" s="42" t="str"/>
      <x:c r="H389" s="40" t="str">
        <x:v>Normal</x:v>
      </x:c>
      <x:c r="I389" s="40" t="str">
        <x:f>IF(E389="Concluído","Concluído",IF(A389&lt;TODAY(),"Atrasado",IF(A389=TODAY(),"Hoje","Futuro")))</x:f>
        <x:v>Futuro</x:v>
      </x:c>
      <x:c r="J389" s="43" t="n">
        <x:f>IF(OR(E389="Concluído",A389&gt;=TODAY()),0,TODAY()-A389)</x:f>
        <x:v>0</x:v>
      </x:c>
      <x:c r="K389" s="40" t="str"/>
    </x:row>
    <x:row r="390">
      <x:c r="A390" s="34" t="n">
        <x:v>46313</x:v>
      </x:c>
      <x:c r="B390" s="40" t="str">
        <x:v>Atualidades e Inteligência Artificial</x:v>
      </x:c>
      <x:c r="C390" s="40" t="str">
        <x:v>28 - Minerais Críticos</x:v>
      </x:c>
      <x:c r="D390" s="40" t="str">
        <x:v>Videoaula</x:v>
      </x:c>
      <x:c r="E390" s="40" t="str">
        <x:v>Não iniciado</x:v>
      </x:c>
      <x:c r="F390" s="41" t="str"/>
      <x:c r="G390" s="42" t="str"/>
      <x:c r="H390" s="40" t="str">
        <x:v>Normal</x:v>
      </x:c>
      <x:c r="I390" s="40" t="str">
        <x:f>IF(E390="Concluído","Concluído",IF(A390&lt;TODAY(),"Atrasado",IF(A390=TODAY(),"Hoje","Futuro")))</x:f>
        <x:v>Futuro</x:v>
      </x:c>
      <x:c r="J390" s="43" t="n">
        <x:f>IF(OR(E390="Concluído",A390&gt;=TODAY()),0,TODAY()-A390)</x:f>
        <x:v>0</x:v>
      </x:c>
      <x:c r="K390" s="40" t="str"/>
    </x:row>
    <x:row r="391">
      <x:c r="A391" s="34" t="n">
        <x:v>46313</x:v>
      </x:c>
      <x:c r="B391" s="40" t="str">
        <x:v>Atualidades e Inteligência Artificial</x:v>
      </x:c>
      <x:c r="C391" s="40" t="str">
        <x:v>29 - Realidade Brasileira</x:v>
      </x:c>
      <x:c r="D391" s="40" t="str">
        <x:v>Videoaula</x:v>
      </x:c>
      <x:c r="E391" s="40" t="str">
        <x:v>Não iniciado</x:v>
      </x:c>
      <x:c r="F391" s="41" t="str"/>
      <x:c r="G391" s="42" t="str"/>
      <x:c r="H391" s="40" t="str">
        <x:v>Normal</x:v>
      </x:c>
      <x:c r="I391" s="40" t="str">
        <x:f>IF(E391="Concluído","Concluído",IF(A391&lt;TODAY(),"Atrasado",IF(A391=TODAY(),"Hoje","Futuro")))</x:f>
        <x:v>Futuro</x:v>
      </x:c>
      <x:c r="J391" s="43" t="n">
        <x:f>IF(OR(E391="Concluído",A391&gt;=TODAY()),0,TODAY()-A391)</x:f>
        <x:v>0</x:v>
      </x:c>
      <x:c r="K391" s="40" t="str"/>
    </x:row>
    <x:row r="392">
      <x:c r="A392" s="34" t="n">
        <x:v>46313</x:v>
      </x:c>
      <x:c r="B392" s="40" t="str">
        <x:v>Legislação Acerca de Segurança da Informação e Proteção de Dados</x:v>
      </x:c>
      <x:c r="C392" s="40" t="str">
        <x:v>7 - Lei nº 13.709/2018 - Lei Geral de Proteção de Dados Pessoais - LGPD VII</x:v>
      </x:c>
      <x:c r="D392" s="40" t="str">
        <x:v>Videoaula</x:v>
      </x:c>
      <x:c r="E392" s="40" t="str">
        <x:v>Não iniciado</x:v>
      </x:c>
      <x:c r="F392" s="41" t="str"/>
      <x:c r="G392" s="42" t="str"/>
      <x:c r="H392" s="40" t="str">
        <x:v>Normal</x:v>
      </x:c>
      <x:c r="I392" s="40" t="str">
        <x:f>IF(E392="Concluído","Concluído",IF(A392&lt;TODAY(),"Atrasado",IF(A392=TODAY(),"Hoje","Futuro")))</x:f>
        <x:v>Futuro</x:v>
      </x:c>
      <x:c r="J392" s="43" t="n">
        <x:f>IF(OR(E392="Concluído",A392&gt;=TODAY()),0,TODAY()-A392)</x:f>
        <x:v>0</x:v>
      </x:c>
      <x:c r="K392" s="40" t="str"/>
    </x:row>
    <x:row r="393">
      <x:c r="A393" s="34" t="n">
        <x:v>46313</x:v>
      </x:c>
      <x:c r="B393" s="40" t="str">
        <x:v>Legislação Acerca de Segurança da Informação e Proteção de Dados</x:v>
      </x:c>
      <x:c r="C393" s="40" t="str">
        <x:v>8 - Lei nº 13.709/2018 - Lei Geral de Proteção de Dados Pessoais - LGPD VIII</x:v>
      </x:c>
      <x:c r="D393" s="40" t="str">
        <x:v>Videoaula</x:v>
      </x:c>
      <x:c r="E393" s="40" t="str">
        <x:v>Não iniciado</x:v>
      </x:c>
      <x:c r="F393" s="41" t="str"/>
      <x:c r="G393" s="42" t="str"/>
      <x:c r="H393" s="40" t="str">
        <x:v>Normal</x:v>
      </x:c>
      <x:c r="I393" s="40" t="str">
        <x:f>IF(E393="Concluído","Concluído",IF(A393&lt;TODAY(),"Atrasado",IF(A393=TODAY(),"Hoje","Futuro")))</x:f>
        <x:v>Futuro</x:v>
      </x:c>
      <x:c r="J393" s="43" t="n">
        <x:f>IF(OR(E393="Concluído",A393&gt;=TODAY()),0,TODAY()-A393)</x:f>
        <x:v>0</x:v>
      </x:c>
      <x:c r="K393" s="40" t="str"/>
    </x:row>
    <x:row r="394">
      <x:c r="A394" s="34" t="n">
        <x:v>46313</x:v>
      </x:c>
      <x:c r="B394" s="40" t="str">
        <x:v>Gestão e Governança de Tecnologia da Informação</x:v>
      </x:c>
      <x:c r="C394" s="40" t="str">
        <x:v>12 - Instrução Normativa SGD/ME nº 94/2022 - Contratação de Soluções de Tecnologia da Informação e Comunicação - TIC XII</x:v>
      </x:c>
      <x:c r="D394" s="40" t="str">
        <x:v>Videoaula</x:v>
      </x:c>
      <x:c r="E394" s="40" t="str">
        <x:v>Não iniciado</x:v>
      </x:c>
      <x:c r="F394" s="41" t="str"/>
      <x:c r="G394" s="42" t="str"/>
      <x:c r="H394" s="40" t="str">
        <x:v>Normal</x:v>
      </x:c>
      <x:c r="I394" s="40" t="str">
        <x:f>IF(E394="Concluído","Concluído",IF(A394&lt;TODAY(),"Atrasado",IF(A394=TODAY(),"Hoje","Futuro")))</x:f>
        <x:v>Futuro</x:v>
      </x:c>
      <x:c r="J394" s="43" t="n">
        <x:f>IF(OR(E394="Concluído",A394&gt;=TODAY()),0,TODAY()-A394)</x:f>
        <x:v>0</x:v>
      </x:c>
      <x:c r="K394" s="40" t="str"/>
    </x:row>
    <x:row r="395">
      <x:c r="A395" s="34" t="n">
        <x:v>46313</x:v>
      </x:c>
      <x:c r="B395" s="40" t="str">
        <x:v>Revisão</x:v>
      </x:c>
      <x:c r="C395" s="40" t="str">
        <x:v>Revisão</x:v>
      </x:c>
      <x:c r="D395" s="40" t="str">
        <x:v>Revisao</x:v>
      </x:c>
      <x:c r="E395" s="40" t="str">
        <x:v>Não iniciado</x:v>
      </x:c>
      <x:c r="F395" s="41" t="str"/>
      <x:c r="G395" s="42" t="str"/>
      <x:c r="H395" s="40" t="str">
        <x:v>Normal</x:v>
      </x:c>
      <x:c r="I395" s="40" t="str">
        <x:f>IF(E395="Concluído","Concluído",IF(A395&lt;TODAY(),"Atrasado",IF(A395=TODAY(),"Hoje","Futuro")))</x:f>
        <x:v>Futuro</x:v>
      </x:c>
      <x:c r="J395" s="43" t="n">
        <x:f>IF(OR(E395="Concluído",A395&gt;=TODAY()),0,TODAY()-A395)</x:f>
        <x:v>0</x:v>
      </x:c>
      <x:c r="K395" s="40" t="str"/>
    </x:row>
    <x:row r="396">
      <x:c r="A396" s="34" t="n">
        <x:v>46314</x:v>
      </x:c>
      <x:c r="B396" s="40" t="str">
        <x:v>Gestão e Governança de Tecnologia da Informação</x:v>
      </x:c>
      <x:c r="C396" s="40" t="str">
        <x:v>12 - Instrução Normativa SGD/ME nº 94/2022 - Contratação de Soluções de Tecnologia da Informação e Comunicação - TIC XII</x:v>
      </x:c>
      <x:c r="D396" s="40" t="str">
        <x:v>Videoaula</x:v>
      </x:c>
      <x:c r="E396" s="40" t="str">
        <x:v>Não iniciado</x:v>
      </x:c>
      <x:c r="F396" s="41" t="str"/>
      <x:c r="G396" s="42" t="str"/>
      <x:c r="H396" s="40" t="str">
        <x:v>Normal</x:v>
      </x:c>
      <x:c r="I396" s="40" t="str">
        <x:f>IF(E396="Concluído","Concluído",IF(A396&lt;TODAY(),"Atrasado",IF(A396=TODAY(),"Hoje","Futuro")))</x:f>
        <x:v>Futuro</x:v>
      </x:c>
      <x:c r="J396" s="43" t="n">
        <x:f>IF(OR(E396="Concluído",A396&gt;=TODAY()),0,TODAY()-A396)</x:f>
        <x:v>0</x:v>
      </x:c>
      <x:c r="K396" s="40" t="str"/>
    </x:row>
    <x:row r="397">
      <x:c r="A397" s="34" t="n">
        <x:v>46314</x:v>
      </x:c>
      <x:c r="B397" s="40" t="str">
        <x:v>Gestão e Governança de Tecnologia da Informação</x:v>
      </x:c>
      <x:c r="C397" s="40" t="str">
        <x:v>13 - Instrução Normativa SGD/ME nº 94/2022 - Contratação de Soluções de Tecnologia da Informação e Comunicação - TIC XIII</x:v>
      </x:c>
      <x:c r="D397" s="40" t="str">
        <x:v>Videoaula</x:v>
      </x:c>
      <x:c r="E397" s="40" t="str">
        <x:v>Não iniciado</x:v>
      </x:c>
      <x:c r="F397" s="41" t="str"/>
      <x:c r="G397" s="42" t="str"/>
      <x:c r="H397" s="40" t="str">
        <x:v>Normal</x:v>
      </x:c>
      <x:c r="I397" s="40" t="str">
        <x:f>IF(E397="Concluído","Concluído",IF(A397&lt;TODAY(),"Atrasado",IF(A397=TODAY(),"Hoje","Futuro")))</x:f>
        <x:v>Futuro</x:v>
      </x:c>
      <x:c r="J397" s="43" t="n">
        <x:f>IF(OR(E397="Concluído",A397&gt;=TODAY()),0,TODAY()-A397)</x:f>
        <x:v>0</x:v>
      </x:c>
      <x:c r="K397" s="40" t="str"/>
    </x:row>
    <x:row r="398">
      <x:c r="A398" s="34" t="n">
        <x:v>46314</x:v>
      </x:c>
      <x:c r="B398" s="40" t="str">
        <x:v>Banco de Dados</x:v>
      </x:c>
      <x:c r="C398" s="40" t="str">
        <x:v>14 - Banco de Dados - Normalização 4FN e 5FN</x:v>
      </x:c>
      <x:c r="D398" s="40" t="str">
        <x:v>Videoaula</x:v>
      </x:c>
      <x:c r="E398" s="40" t="str">
        <x:v>Não iniciado</x:v>
      </x:c>
      <x:c r="F398" s="41" t="str"/>
      <x:c r="G398" s="42" t="str"/>
      <x:c r="H398" s="40" t="str">
        <x:v>Normal</x:v>
      </x:c>
      <x:c r="I398" s="40" t="str">
        <x:f>IF(E398="Concluído","Concluído",IF(A398&lt;TODAY(),"Atrasado",IF(A398=TODAY(),"Hoje","Futuro")))</x:f>
        <x:v>Futuro</x:v>
      </x:c>
      <x:c r="J398" s="43" t="n">
        <x:f>IF(OR(E398="Concluído",A398&gt;=TODAY()),0,TODAY()-A398)</x:f>
        <x:v>0</x:v>
      </x:c>
      <x:c r="K398" s="40" t="str"/>
    </x:row>
    <x:row r="399">
      <x:c r="A399" s="34" t="n">
        <x:v>46314</x:v>
      </x:c>
      <x:c r="B399" s="40" t="str">
        <x:v>Banco de Dados</x:v>
      </x:c>
      <x:c r="C399" s="40" t="str">
        <x:v>15 - Banco de Dados - Linguagem SQL</x:v>
      </x:c>
      <x:c r="D399" s="40" t="str">
        <x:v>Videoaula</x:v>
      </x:c>
      <x:c r="E399" s="40" t="str">
        <x:v>Não iniciado</x:v>
      </x:c>
      <x:c r="F399" s="41" t="str"/>
      <x:c r="G399" s="42" t="str"/>
      <x:c r="H399" s="40" t="str">
        <x:v>Normal</x:v>
      </x:c>
      <x:c r="I399" s="40" t="str">
        <x:f>IF(E399="Concluído","Concluído",IF(A399&lt;TODAY(),"Atrasado",IF(A399=TODAY(),"Hoje","Futuro")))</x:f>
        <x:v>Futuro</x:v>
      </x:c>
      <x:c r="J399" s="43" t="n">
        <x:f>IF(OR(E399="Concluído",A399&gt;=TODAY()),0,TODAY()-A399)</x:f>
        <x:v>0</x:v>
      </x:c>
      <x:c r="K399" s="40" t="str"/>
    </x:row>
    <x:row r="400">
      <x:c r="A400" s="34" t="n">
        <x:v>46315</x:v>
      </x:c>
      <x:c r="B400" s="40" t="str">
        <x:v>Banco de Dados</x:v>
      </x:c>
      <x:c r="C400" s="40" t="str">
        <x:v>15 - Banco de Dados - Linguagem SQL</x:v>
      </x:c>
      <x:c r="D400" s="40" t="str">
        <x:v>Videoaula</x:v>
      </x:c>
      <x:c r="E400" s="40" t="str">
        <x:v>Não iniciado</x:v>
      </x:c>
      <x:c r="F400" s="41" t="str"/>
      <x:c r="G400" s="42" t="str"/>
      <x:c r="H400" s="40" t="str">
        <x:v>Normal</x:v>
      </x:c>
      <x:c r="I400" s="40" t="str">
        <x:f>IF(E400="Concluído","Concluído",IF(A400&lt;TODAY(),"Atrasado",IF(A400=TODAY(),"Hoje","Futuro")))</x:f>
        <x:v>Futuro</x:v>
      </x:c>
      <x:c r="J400" s="43" t="n">
        <x:f>IF(OR(E400="Concluído",A400&gt;=TODAY()),0,TODAY()-A400)</x:f>
        <x:v>0</x:v>
      </x:c>
      <x:c r="K400" s="40" t="str"/>
    </x:row>
    <x:row r="401">
      <x:c r="A401" s="34" t="n">
        <x:v>46315</x:v>
      </x:c>
      <x:c r="B401" s="40" t="str">
        <x:v>Língua Portuguesa</x:v>
      </x:c>
      <x:c r="C401" s="40" t="str">
        <x:v>4 - Estrutura e Processos de Formação de Palavras</x:v>
      </x:c>
      <x:c r="D401" s="40" t="str">
        <x:v>Pdf</x:v>
      </x:c>
      <x:c r="E401" s="40" t="str">
        <x:v>Não iniciado</x:v>
      </x:c>
      <x:c r="F401" s="41" t="str"/>
      <x:c r="G401" s="42" t="str"/>
      <x:c r="H401" s="40" t="str">
        <x:v>Normal</x:v>
      </x:c>
      <x:c r="I401" s="40" t="str">
        <x:f>IF(E401="Concluído","Concluído",IF(A401&lt;TODAY(),"Atrasado",IF(A401=TODAY(),"Hoje","Futuro")))</x:f>
        <x:v>Futuro</x:v>
      </x:c>
      <x:c r="J401" s="43" t="n">
        <x:f>IF(OR(E401="Concluído",A401&gt;=TODAY()),0,TODAY()-A401)</x:f>
        <x:v>0</x:v>
      </x:c>
      <x:c r="K401" s="40" t="str"/>
    </x:row>
    <x:row r="402">
      <x:c r="A402" s="34" t="n">
        <x:v>46316</x:v>
      </x:c>
      <x:c r="B402" s="40" t="str">
        <x:v>Língua Portuguesa</x:v>
      </x:c>
      <x:c r="C402" s="40" t="str">
        <x:v>4 - Estrutura e Processos de Formação de Palavras</x:v>
      </x:c>
      <x:c r="D402" s="40" t="str">
        <x:v>Pdf</x:v>
      </x:c>
      <x:c r="E402" s="40" t="str">
        <x:v>Não iniciado</x:v>
      </x:c>
      <x:c r="F402" s="41" t="str"/>
      <x:c r="G402" s="42" t="str"/>
      <x:c r="H402" s="40" t="str">
        <x:v>Normal</x:v>
      </x:c>
      <x:c r="I402" s="40" t="str">
        <x:f>IF(E402="Concluído","Concluído",IF(A402&lt;TODAY(),"Atrasado",IF(A402=TODAY(),"Hoje","Futuro")))</x:f>
        <x:v>Futuro</x:v>
      </x:c>
      <x:c r="J402" s="43" t="n">
        <x:f>IF(OR(E402="Concluído",A402&gt;=TODAY()),0,TODAY()-A402)</x:f>
        <x:v>0</x:v>
      </x:c>
      <x:c r="K402" s="40" t="str"/>
    </x:row>
    <x:row r="403">
      <x:c r="A403" s="34" t="n">
        <x:v>46316</x:v>
      </x:c>
      <x:c r="B403" s="40" t="str">
        <x:v>Inteligência Emocional</x:v>
      </x:c>
      <x:c r="C403" s="40" t="str">
        <x:v>15 - ELO 15: Traumas e Estudos</x:v>
      </x:c>
      <x:c r="D403" s="40" t="str">
        <x:v>Pdf</x:v>
      </x:c>
      <x:c r="E403" s="40" t="str">
        <x:v>Não iniciado</x:v>
      </x:c>
      <x:c r="F403" s="41" t="str"/>
      <x:c r="G403" s="42" t="str"/>
      <x:c r="H403" s="40" t="str">
        <x:v>Normal</x:v>
      </x:c>
      <x:c r="I403" s="40" t="str">
        <x:f>IF(E403="Concluído","Concluído",IF(A403&lt;TODAY(),"Atrasado",IF(A403=TODAY(),"Hoje","Futuro")))</x:f>
        <x:v>Futuro</x:v>
      </x:c>
      <x:c r="J403" s="43" t="n">
        <x:f>IF(OR(E403="Concluído",A403&gt;=TODAY()),0,TODAY()-A403)</x:f>
        <x:v>0</x:v>
      </x:c>
      <x:c r="K403" s="40" t="str"/>
    </x:row>
    <x:row r="404">
      <x:c r="A404" s="34" t="n">
        <x:v>46316</x:v>
      </x:c>
      <x:c r="B404" s="40" t="str">
        <x:v>Língua Portuguesa</x:v>
      </x:c>
      <x:c r="C404" s="40" t="str">
        <x:v>1 - Classes de Palavras</x:v>
      </x:c>
      <x:c r="D404" s="40" t="str">
        <x:v>Videoaula</x:v>
      </x:c>
      <x:c r="E404" s="40" t="str">
        <x:v>Não iniciado</x:v>
      </x:c>
      <x:c r="F404" s="41" t="str"/>
      <x:c r="G404" s="42" t="str"/>
      <x:c r="H404" s="40" t="str">
        <x:v>Normal</x:v>
      </x:c>
      <x:c r="I404" s="40" t="str">
        <x:f>IF(E404="Concluído","Concluído",IF(A404&lt;TODAY(),"Atrasado",IF(A404=TODAY(),"Hoje","Futuro")))</x:f>
        <x:v>Futuro</x:v>
      </x:c>
      <x:c r="J404" s="43" t="n">
        <x:f>IF(OR(E404="Concluído",A404&gt;=TODAY()),0,TODAY()-A404)</x:f>
        <x:v>0</x:v>
      </x:c>
      <x:c r="K404" s="40" t="str"/>
    </x:row>
    <x:row r="405">
      <x:c r="A405" s="34" t="n">
        <x:v>46316</x:v>
      </x:c>
      <x:c r="B405" s="40" t="str">
        <x:v>Língua Portuguesa</x:v>
      </x:c>
      <x:c r="C405" s="40" t="str">
        <x:v>2 - Classes de Palavras II</x:v>
      </x:c>
      <x:c r="D405" s="40" t="str">
        <x:v>Videoaula</x:v>
      </x:c>
      <x:c r="E405" s="40" t="str">
        <x:v>Não iniciado</x:v>
      </x:c>
      <x:c r="F405" s="41" t="str"/>
      <x:c r="G405" s="42" t="str"/>
      <x:c r="H405" s="40" t="str">
        <x:v>Normal</x:v>
      </x:c>
      <x:c r="I405" s="40" t="str">
        <x:f>IF(E405="Concluído","Concluído",IF(A405&lt;TODAY(),"Atrasado",IF(A405=TODAY(),"Hoje","Futuro")))</x:f>
        <x:v>Futuro</x:v>
      </x:c>
      <x:c r="J405" s="43" t="n">
        <x:f>IF(OR(E405="Concluído",A405&gt;=TODAY()),0,TODAY()-A405)</x:f>
        <x:v>0</x:v>
      </x:c>
      <x:c r="K405" s="40" t="str"/>
    </x:row>
    <x:row r="406">
      <x:c r="A406" s="34" t="n">
        <x:v>46316</x:v>
      </x:c>
      <x:c r="B406" s="40" t="str">
        <x:v>Língua Inglesa</x:v>
      </x:c>
      <x:c r="C406" s="40" t="str">
        <x:v>30 - A Free Press Needs You II</x:v>
      </x:c>
      <x:c r="D406" s="40" t="str">
        <x:v>Videoaula</x:v>
      </x:c>
      <x:c r="E406" s="40" t="str">
        <x:v>Não iniciado</x:v>
      </x:c>
      <x:c r="F406" s="41" t="str"/>
      <x:c r="G406" s="42" t="str"/>
      <x:c r="H406" s="40" t="str">
        <x:v>Normal</x:v>
      </x:c>
      <x:c r="I406" s="40" t="str">
        <x:f>IF(E406="Concluído","Concluído",IF(A406&lt;TODAY(),"Atrasado",IF(A406=TODAY(),"Hoje","Futuro")))</x:f>
        <x:v>Futuro</x:v>
      </x:c>
      <x:c r="J406" s="43" t="n">
        <x:f>IF(OR(E406="Concluído",A406&gt;=TODAY()),0,TODAY()-A406)</x:f>
        <x:v>0</x:v>
      </x:c>
      <x:c r="K406" s="40" t="str"/>
    </x:row>
    <x:row r="407">
      <x:c r="A407" s="34" t="n">
        <x:v>46317</x:v>
      </x:c>
      <x:c r="B407" s="40" t="str">
        <x:v>Língua Inglesa</x:v>
      </x:c>
      <x:c r="C407" s="40" t="str">
        <x:v>30 - A Free Press Needs You II</x:v>
      </x:c>
      <x:c r="D407" s="40" t="str">
        <x:v>Videoaula</x:v>
      </x:c>
      <x:c r="E407" s="40" t="str">
        <x:v>Não iniciado</x:v>
      </x:c>
      <x:c r="F407" s="41" t="str"/>
      <x:c r="G407" s="42" t="str"/>
      <x:c r="H407" s="40" t="str">
        <x:v>Normal</x:v>
      </x:c>
      <x:c r="I407" s="40" t="str">
        <x:f>IF(E407="Concluído","Concluído",IF(A407&lt;TODAY(),"Atrasado",IF(A407=TODAY(),"Hoje","Futuro")))</x:f>
        <x:v>Futuro</x:v>
      </x:c>
      <x:c r="J407" s="43" t="n">
        <x:f>IF(OR(E407="Concluído",A407&gt;=TODAY()),0,TODAY()-A407)</x:f>
        <x:v>0</x:v>
      </x:c>
      <x:c r="K407" s="40" t="str"/>
    </x:row>
    <x:row r="408">
      <x:c r="A408" s="34" t="n">
        <x:v>46317</x:v>
      </x:c>
      <x:c r="B408" s="40" t="str">
        <x:v>Língua Inglesa</x:v>
      </x:c>
      <x:c r="C408" s="40" t="str">
        <x:v>31 - Atualidade: How AI Is Revolutionized</x:v>
      </x:c>
      <x:c r="D408" s="40" t="str">
        <x:v>Videoaula</x:v>
      </x:c>
      <x:c r="E408" s="40" t="str">
        <x:v>Não iniciado</x:v>
      </x:c>
      <x:c r="F408" s="41" t="str"/>
      <x:c r="G408" s="42" t="str"/>
      <x:c r="H408" s="40" t="str">
        <x:v>Normal</x:v>
      </x:c>
      <x:c r="I408" s="40" t="str">
        <x:f>IF(E408="Concluído","Concluído",IF(A408&lt;TODAY(),"Atrasado",IF(A408=TODAY(),"Hoje","Futuro")))</x:f>
        <x:v>Futuro</x:v>
      </x:c>
      <x:c r="J408" s="43" t="n">
        <x:f>IF(OR(E408="Concluído",A408&gt;=TODAY()),0,TODAY()-A408)</x:f>
        <x:v>0</x:v>
      </x:c>
      <x:c r="K408" s="40" t="str"/>
    </x:row>
    <x:row r="409">
      <x:c r="A409" s="34" t="n">
        <x:v>46317</x:v>
      </x:c>
      <x:c r="B409" s="40" t="str">
        <x:v>Atualidades e Inteligência Artificial</x:v>
      </x:c>
      <x:c r="C409" s="40" t="str">
        <x:v>30 - Últimas Atualizações</x:v>
      </x:c>
      <x:c r="D409" s="40" t="str">
        <x:v>Videoaula</x:v>
      </x:c>
      <x:c r="E409" s="40" t="str">
        <x:v>Não iniciado</x:v>
      </x:c>
      <x:c r="F409" s="41" t="str"/>
      <x:c r="G409" s="42" t="str"/>
      <x:c r="H409" s="40" t="str">
        <x:v>Normal</x:v>
      </x:c>
      <x:c r="I409" s="40" t="str">
        <x:f>IF(E409="Concluído","Concluído",IF(A409&lt;TODAY(),"Atrasado",IF(A409=TODAY(),"Hoje","Futuro")))</x:f>
        <x:v>Futuro</x:v>
      </x:c>
      <x:c r="J409" s="43" t="n">
        <x:f>IF(OR(E409="Concluído",A409&gt;=TODAY()),0,TODAY()-A409)</x:f>
        <x:v>0</x:v>
      </x:c>
      <x:c r="K409" s="40" t="str"/>
    </x:row>
    <x:row r="410">
      <x:c r="A410" s="34" t="n">
        <x:v>46317</x:v>
      </x:c>
      <x:c r="B410" s="40" t="str">
        <x:v>Atualidades e Inteligência Artificial</x:v>
      </x:c>
      <x:c r="C410" s="40" t="str">
        <x:v>1 - Apresentação</x:v>
      </x:c>
      <x:c r="D410" s="40" t="str">
        <x:v>Videoaula</x:v>
      </x:c>
      <x:c r="E410" s="40" t="str">
        <x:v>Não iniciado</x:v>
      </x:c>
      <x:c r="F410" s="41" t="str"/>
      <x:c r="G410" s="42" t="str"/>
      <x:c r="H410" s="40" t="str">
        <x:v>Normal</x:v>
      </x:c>
      <x:c r="I410" s="40" t="str">
        <x:f>IF(E410="Concluído","Concluído",IF(A410&lt;TODAY(),"Atrasado",IF(A410=TODAY(),"Hoje","Futuro")))</x:f>
        <x:v>Futuro</x:v>
      </x:c>
      <x:c r="J410" s="43" t="n">
        <x:f>IF(OR(E410="Concluído",A410&gt;=TODAY()),0,TODAY()-A410)</x:f>
        <x:v>0</x:v>
      </x:c>
      <x:c r="K410" s="40" t="str"/>
    </x:row>
    <x:row r="411">
      <x:c r="A411" s="34" t="n">
        <x:v>46317</x:v>
      </x:c>
      <x:c r="B411" s="40" t="str">
        <x:v>Legislação Acerca de Segurança da Informação e Proteção de Dados</x:v>
      </x:c>
      <x:c r="C411" s="40" t="str">
        <x:v>9 - Lei nº 13.709/2018 - Lei Geral de Proteção de Dados Pessoais - LGPD IX</x:v>
      </x:c>
      <x:c r="D411" s="40" t="str">
        <x:v>Videoaula</x:v>
      </x:c>
      <x:c r="E411" s="40" t="str">
        <x:v>Não iniciado</x:v>
      </x:c>
      <x:c r="F411" s="41" t="str"/>
      <x:c r="G411" s="42" t="str"/>
      <x:c r="H411" s="40" t="str">
        <x:v>Normal</x:v>
      </x:c>
      <x:c r="I411" s="40" t="str">
        <x:f>IF(E411="Concluído","Concluído",IF(A411&lt;TODAY(),"Atrasado",IF(A411=TODAY(),"Hoje","Futuro")))</x:f>
        <x:v>Futuro</x:v>
      </x:c>
      <x:c r="J411" s="43" t="n">
        <x:f>IF(OR(E411="Concluído",A411&gt;=TODAY()),0,TODAY()-A411)</x:f>
        <x:v>0</x:v>
      </x:c>
      <x:c r="K411" s="40" t="str"/>
    </x:row>
    <x:row r="412">
      <x:c r="A412" s="34" t="n">
        <x:v>46317</x:v>
      </x:c>
      <x:c r="B412" s="40" t="str">
        <x:v>Legislação Acerca de Segurança da Informação e Proteção de Dados</x:v>
      </x:c>
      <x:c r="C412" s="40" t="str">
        <x:v>10 - Lei nº 13.709/2018 - Lei Geral de Proteção de Dados Pessoais - LGPD X</x:v>
      </x:c>
      <x:c r="D412" s="40" t="str">
        <x:v>Videoaula</x:v>
      </x:c>
      <x:c r="E412" s="40" t="str">
        <x:v>Não iniciado</x:v>
      </x:c>
      <x:c r="F412" s="41" t="str"/>
      <x:c r="G412" s="42" t="str"/>
      <x:c r="H412" s="40" t="str">
        <x:v>Normal</x:v>
      </x:c>
      <x:c r="I412" s="40" t="str">
        <x:f>IF(E412="Concluído","Concluído",IF(A412&lt;TODAY(),"Atrasado",IF(A412=TODAY(),"Hoje","Futuro")))</x:f>
        <x:v>Futuro</x:v>
      </x:c>
      <x:c r="J412" s="43" t="n">
        <x:f>IF(OR(E412="Concluído",A412&gt;=TODAY()),0,TODAY()-A412)</x:f>
        <x:v>0</x:v>
      </x:c>
      <x:c r="K412" s="40" t="str"/>
    </x:row>
    <x:row r="413">
      <x:c r="A413" s="34" t="n">
        <x:v>46318</x:v>
      </x:c>
      <x:c r="B413" s="40" t="str">
        <x:v>Legislação Acerca de Segurança da Informação e Proteção de Dados</x:v>
      </x:c>
      <x:c r="C413" s="40" t="str">
        <x:v>10 - Lei nº 13.709/2018 - Lei Geral de Proteção de Dados Pessoais - LGPD X</x:v>
      </x:c>
      <x:c r="D413" s="40" t="str">
        <x:v>Videoaula</x:v>
      </x:c>
      <x:c r="E413" s="40" t="str">
        <x:v>Não iniciado</x:v>
      </x:c>
      <x:c r="F413" s="41" t="str"/>
      <x:c r="G413" s="42" t="str"/>
      <x:c r="H413" s="40" t="str">
        <x:v>Normal</x:v>
      </x:c>
      <x:c r="I413" s="40" t="str">
        <x:f>IF(E413="Concluído","Concluído",IF(A413&lt;TODAY(),"Atrasado",IF(A413=TODAY(),"Hoje","Futuro")))</x:f>
        <x:v>Futuro</x:v>
      </x:c>
      <x:c r="J413" s="43" t="n">
        <x:f>IF(OR(E413="Concluído",A413&gt;=TODAY()),0,TODAY()-A413)</x:f>
        <x:v>0</x:v>
      </x:c>
      <x:c r="K413" s="40" t="str"/>
    </x:row>
    <x:row r="414">
      <x:c r="A414" s="34" t="n">
        <x:v>46318</x:v>
      </x:c>
      <x:c r="B414" s="40" t="str">
        <x:v>Gestão e Governança de Tecnologia da Informação</x:v>
      </x:c>
      <x:c r="C414" s="40" t="str">
        <x:v>14 - Instrução Normativa SGD/ME nº 94/2022 - Contratação de Soluções de Tecnologia da Informação e Comunicação - TIC XIV</x:v>
      </x:c>
      <x:c r="D414" s="40" t="str">
        <x:v>Videoaula</x:v>
      </x:c>
      <x:c r="E414" s="40" t="str">
        <x:v>Não iniciado</x:v>
      </x:c>
      <x:c r="F414" s="41" t="str"/>
      <x:c r="G414" s="42" t="str"/>
      <x:c r="H414" s="40" t="str">
        <x:v>Normal</x:v>
      </x:c>
      <x:c r="I414" s="40" t="str">
        <x:f>IF(E414="Concluído","Concluído",IF(A414&lt;TODAY(),"Atrasado",IF(A414=TODAY(),"Hoje","Futuro")))</x:f>
        <x:v>Futuro</x:v>
      </x:c>
      <x:c r="J414" s="43" t="n">
        <x:f>IF(OR(E414="Concluído",A414&gt;=TODAY()),0,TODAY()-A414)</x:f>
        <x:v>0</x:v>
      </x:c>
      <x:c r="K414" s="40" t="str"/>
    </x:row>
    <x:row r="415">
      <x:c r="A415" s="34" t="n">
        <x:v>46318</x:v>
      </x:c>
      <x:c r="B415" s="40" t="str">
        <x:v>Gestão e Governança de Tecnologia da Informação</x:v>
      </x:c>
      <x:c r="C415" s="40" t="str">
        <x:v>15 - Instrução Normativa SGD/ME nº 94/2022 - Contratação de Soluções de Tecnologia da Informação e Comunicação - TIC XV</x:v>
      </x:c>
      <x:c r="D415" s="40" t="str">
        <x:v>Videoaula</x:v>
      </x:c>
      <x:c r="E415" s="40" t="str">
        <x:v>Não iniciado</x:v>
      </x:c>
      <x:c r="F415" s="41" t="str"/>
      <x:c r="G415" s="42" t="str"/>
      <x:c r="H415" s="40" t="str">
        <x:v>Normal</x:v>
      </x:c>
      <x:c r="I415" s="40" t="str">
        <x:f>IF(E415="Concluído","Concluído",IF(A415&lt;TODAY(),"Atrasado",IF(A415=TODAY(),"Hoje","Futuro")))</x:f>
        <x:v>Futuro</x:v>
      </x:c>
      <x:c r="J415" s="43" t="n">
        <x:f>IF(OR(E415="Concluído",A415&gt;=TODAY()),0,TODAY()-A415)</x:f>
        <x:v>0</x:v>
      </x:c>
      <x:c r="K415" s="40" t="str"/>
    </x:row>
    <x:row r="416">
      <x:c r="A416" s="34" t="n">
        <x:v>46318</x:v>
      </x:c>
      <x:c r="B416" s="40" t="str">
        <x:v>Banco de Dados</x:v>
      </x:c>
      <x:c r="C416" s="40" t="str">
        <x:v>16 - Banco de Dados - Linguagem SQL II</x:v>
      </x:c>
      <x:c r="D416" s="40" t="str">
        <x:v>Videoaula</x:v>
      </x:c>
      <x:c r="E416" s="40" t="str">
        <x:v>Não iniciado</x:v>
      </x:c>
      <x:c r="F416" s="41" t="str"/>
      <x:c r="G416" s="42" t="str"/>
      <x:c r="H416" s="40" t="str">
        <x:v>Normal</x:v>
      </x:c>
      <x:c r="I416" s="40" t="str">
        <x:f>IF(E416="Concluído","Concluído",IF(A416&lt;TODAY(),"Atrasado",IF(A416=TODAY(),"Hoje","Futuro")))</x:f>
        <x:v>Futuro</x:v>
      </x:c>
      <x:c r="J416" s="43" t="n">
        <x:f>IF(OR(E416="Concluído",A416&gt;=TODAY()),0,TODAY()-A416)</x:f>
        <x:v>0</x:v>
      </x:c>
      <x:c r="K416" s="40" t="str"/>
    </x:row>
    <x:row r="417">
      <x:c r="A417" s="34" t="n">
        <x:v>46318</x:v>
      </x:c>
      <x:c r="B417" s="40" t="str">
        <x:v>Banco de Dados</x:v>
      </x:c>
      <x:c r="C417" s="40" t="str">
        <x:v>17 - Banco de Dados - Linguagem SQL III</x:v>
      </x:c>
      <x:c r="D417" s="40" t="str">
        <x:v>Videoaula</x:v>
      </x:c>
      <x:c r="E417" s="40" t="str">
        <x:v>Não iniciado</x:v>
      </x:c>
      <x:c r="F417" s="41" t="str"/>
      <x:c r="G417" s="42" t="str"/>
      <x:c r="H417" s="40" t="str">
        <x:v>Normal</x:v>
      </x:c>
      <x:c r="I417" s="40" t="str">
        <x:f>IF(E417="Concluído","Concluído",IF(A417&lt;TODAY(),"Atrasado",IF(A417=TODAY(),"Hoje","Futuro")))</x:f>
        <x:v>Futuro</x:v>
      </x:c>
      <x:c r="J417" s="43" t="n">
        <x:f>IF(OR(E417="Concluído",A417&gt;=TODAY()),0,TODAY()-A417)</x:f>
        <x:v>0</x:v>
      </x:c>
      <x:c r="K417" s="40" t="str"/>
    </x:row>
    <x:row r="418">
      <x:c r="A418" s="34" t="n">
        <x:v>46319</x:v>
      </x:c>
      <x:c r="B418" s="40" t="str">
        <x:v>Língua Portuguesa</x:v>
      </x:c>
      <x:c r="C418" s="40" t="str">
        <x:v>5 - Estrutura e Formação de Palavras</x:v>
      </x:c>
      <x:c r="D418" s="40" t="str">
        <x:v>Pdf</x:v>
      </x:c>
      <x:c r="E418" s="40" t="str">
        <x:v>Não iniciado</x:v>
      </x:c>
      <x:c r="F418" s="41" t="str"/>
      <x:c r="G418" s="42" t="str"/>
      <x:c r="H418" s="40" t="str">
        <x:v>Normal</x:v>
      </x:c>
      <x:c r="I418" s="40" t="str">
        <x:f>IF(E418="Concluído","Concluído",IF(A418&lt;TODAY(),"Atrasado",IF(A418=TODAY(),"Hoje","Futuro")))</x:f>
        <x:v>Futuro</x:v>
      </x:c>
      <x:c r="J418" s="43" t="n">
        <x:f>IF(OR(E418="Concluído",A418&gt;=TODAY()),0,TODAY()-A418)</x:f>
        <x:v>0</x:v>
      </x:c>
      <x:c r="K418" s="40" t="str"/>
    </x:row>
    <x:row r="419">
      <x:c r="A419" s="34" t="n">
        <x:v>46319</x:v>
      </x:c>
      <x:c r="B419" s="40" t="str">
        <x:v>Inteligência Emocional</x:v>
      </x:c>
      <x:c r="C419" s="40" t="str">
        <x:v>16 - ELO 16: Crenças Centrais e os Estudos</x:v>
      </x:c>
      <x:c r="D419" s="40" t="str">
        <x:v>Pdf</x:v>
      </x:c>
      <x:c r="E419" s="40" t="str">
        <x:v>Não iniciado</x:v>
      </x:c>
      <x:c r="F419" s="41" t="str"/>
      <x:c r="G419" s="42" t="str"/>
      <x:c r="H419" s="40" t="str">
        <x:v>Normal</x:v>
      </x:c>
      <x:c r="I419" s="40" t="str">
        <x:f>IF(E419="Concluído","Concluído",IF(A419&lt;TODAY(),"Atrasado",IF(A419=TODAY(),"Hoje","Futuro")))</x:f>
        <x:v>Futuro</x:v>
      </x:c>
      <x:c r="J419" s="43" t="n">
        <x:f>IF(OR(E419="Concluído",A419&gt;=TODAY()),0,TODAY()-A419)</x:f>
        <x:v>0</x:v>
      </x:c>
      <x:c r="K419" s="40" t="str"/>
    </x:row>
    <x:row r="420">
      <x:c r="A420" s="34" t="n">
        <x:v>46319</x:v>
      </x:c>
      <x:c r="B420" s="40" t="str">
        <x:v>Língua Portuguesa</x:v>
      </x:c>
      <x:c r="C420" s="40" t="str">
        <x:v>3 - Classes de Palavras III</x:v>
      </x:c>
      <x:c r="D420" s="40" t="str">
        <x:v>Videoaula</x:v>
      </x:c>
      <x:c r="E420" s="40" t="str">
        <x:v>Não iniciado</x:v>
      </x:c>
      <x:c r="F420" s="41" t="str"/>
      <x:c r="G420" s="42" t="str"/>
      <x:c r="H420" s="40" t="str">
        <x:v>Normal</x:v>
      </x:c>
      <x:c r="I420" s="40" t="str">
        <x:f>IF(E420="Concluído","Concluído",IF(A420&lt;TODAY(),"Atrasado",IF(A420=TODAY(),"Hoje","Futuro")))</x:f>
        <x:v>Futuro</x:v>
      </x:c>
      <x:c r="J420" s="43" t="n">
        <x:f>IF(OR(E420="Concluído",A420&gt;=TODAY()),0,TODAY()-A420)</x:f>
        <x:v>0</x:v>
      </x:c>
      <x:c r="K420" s="40" t="str"/>
    </x:row>
    <x:row r="421">
      <x:c r="A421" s="34" t="n">
        <x:v>46319</x:v>
      </x:c>
      <x:c r="B421" s="40" t="str">
        <x:v>Língua Portuguesa</x:v>
      </x:c>
      <x:c r="C421" s="40" t="str">
        <x:v>4 - Classes de Palavras IV</x:v>
      </x:c>
      <x:c r="D421" s="40" t="str">
        <x:v>Videoaula</x:v>
      </x:c>
      <x:c r="E421" s="40" t="str">
        <x:v>Não iniciado</x:v>
      </x:c>
      <x:c r="F421" s="41" t="str"/>
      <x:c r="G421" s="42" t="str"/>
      <x:c r="H421" s="40" t="str">
        <x:v>Normal</x:v>
      </x:c>
      <x:c r="I421" s="40" t="str">
        <x:f>IF(E421="Concluído","Concluído",IF(A421&lt;TODAY(),"Atrasado",IF(A421=TODAY(),"Hoje","Futuro")))</x:f>
        <x:v>Futuro</x:v>
      </x:c>
      <x:c r="J421" s="43" t="n">
        <x:f>IF(OR(E421="Concluído",A421&gt;=TODAY()),0,TODAY()-A421)</x:f>
        <x:v>0</x:v>
      </x:c>
      <x:c r="K421" s="40" t="str"/>
    </x:row>
    <x:row r="422">
      <x:c r="A422" s="34" t="n">
        <x:v>46319</x:v>
      </x:c>
      <x:c r="B422" s="40" t="str">
        <x:v>Língua Inglesa</x:v>
      </x:c>
      <x:c r="C422" s="40" t="str">
        <x:v>32 - Atualidade: How AI Is Revolutionized II</x:v>
      </x:c>
      <x:c r="D422" s="40" t="str">
        <x:v>Videoaula</x:v>
      </x:c>
      <x:c r="E422" s="40" t="str">
        <x:v>Não iniciado</x:v>
      </x:c>
      <x:c r="F422" s="41" t="str"/>
      <x:c r="G422" s="42" t="str"/>
      <x:c r="H422" s="40" t="str">
        <x:v>Normal</x:v>
      </x:c>
      <x:c r="I422" s="40" t="str">
        <x:f>IF(E422="Concluído","Concluído",IF(A422&lt;TODAY(),"Atrasado",IF(A422=TODAY(),"Hoje","Futuro")))</x:f>
        <x:v>Futuro</x:v>
      </x:c>
      <x:c r="J422" s="43" t="n">
        <x:f>IF(OR(E422="Concluído",A422&gt;=TODAY()),0,TODAY()-A422)</x:f>
        <x:v>0</x:v>
      </x:c>
      <x:c r="K422" s="40" t="str"/>
    </x:row>
    <x:row r="423">
      <x:c r="A423" s="34" t="n">
        <x:v>46320</x:v>
      </x:c>
      <x:c r="B423" s="40" t="str">
        <x:v>Língua Inglesa</x:v>
      </x:c>
      <x:c r="C423" s="40" t="str">
        <x:v>32 - Atualidade: How AI Is Revolutionized II</x:v>
      </x:c>
      <x:c r="D423" s="40" t="str">
        <x:v>Videoaula</x:v>
      </x:c>
      <x:c r="E423" s="40" t="str">
        <x:v>Não iniciado</x:v>
      </x:c>
      <x:c r="F423" s="41" t="str"/>
      <x:c r="G423" s="42" t="str"/>
      <x:c r="H423" s="40" t="str">
        <x:v>Normal</x:v>
      </x:c>
      <x:c r="I423" s="40" t="str">
        <x:f>IF(E423="Concluído","Concluído",IF(A423&lt;TODAY(),"Atrasado",IF(A423=TODAY(),"Hoje","Futuro")))</x:f>
        <x:v>Futuro</x:v>
      </x:c>
      <x:c r="J423" s="43" t="n">
        <x:f>IF(OR(E423="Concluído",A423&gt;=TODAY()),0,TODAY()-A423)</x:f>
        <x:v>0</x:v>
      </x:c>
      <x:c r="K423" s="40" t="str"/>
    </x:row>
    <x:row r="424">
      <x:c r="A424" s="34" t="n">
        <x:v>46320</x:v>
      </x:c>
      <x:c r="B424" s="40" t="str">
        <x:v>Língua Inglesa</x:v>
      </x:c>
      <x:c r="C424" s="40" t="str">
        <x:v>33 - Atualidade: How AI Is Revolutionized III</x:v>
      </x:c>
      <x:c r="D424" s="40" t="str">
        <x:v>Videoaula</x:v>
      </x:c>
      <x:c r="E424" s="40" t="str">
        <x:v>Não iniciado</x:v>
      </x:c>
      <x:c r="F424" s="41" t="str"/>
      <x:c r="G424" s="42" t="str"/>
      <x:c r="H424" s="40" t="str">
        <x:v>Normal</x:v>
      </x:c>
      <x:c r="I424" s="40" t="str">
        <x:f>IF(E424="Concluído","Concluído",IF(A424&lt;TODAY(),"Atrasado",IF(A424=TODAY(),"Hoje","Futuro")))</x:f>
        <x:v>Futuro</x:v>
      </x:c>
      <x:c r="J424" s="43" t="n">
        <x:f>IF(OR(E424="Concluído",A424&gt;=TODAY()),0,TODAY()-A424)</x:f>
        <x:v>0</x:v>
      </x:c>
      <x:c r="K424" s="40" t="str"/>
    </x:row>
    <x:row r="425">
      <x:c r="A425" s="34" t="n">
        <x:v>46320</x:v>
      </x:c>
      <x:c r="B425" s="40" t="str">
        <x:v>Atualidades e Inteligência Artificial</x:v>
      </x:c>
      <x:c r="C425" s="40" t="str">
        <x:v>1 - Introdução</x:v>
      </x:c>
      <x:c r="D425" s="40" t="str">
        <x:v>Videoaula</x:v>
      </x:c>
      <x:c r="E425" s="40" t="str">
        <x:v>Não iniciado</x:v>
      </x:c>
      <x:c r="F425" s="41" t="str"/>
      <x:c r="G425" s="42" t="str"/>
      <x:c r="H425" s="40" t="str">
        <x:v>Normal</x:v>
      </x:c>
      <x:c r="I425" s="40" t="str">
        <x:f>IF(E425="Concluído","Concluído",IF(A425&lt;TODAY(),"Atrasado",IF(A425=TODAY(),"Hoje","Futuro")))</x:f>
        <x:v>Futuro</x:v>
      </x:c>
      <x:c r="J425" s="43" t="n">
        <x:f>IF(OR(E425="Concluído",A425&gt;=TODAY()),0,TODAY()-A425)</x:f>
        <x:v>0</x:v>
      </x:c>
      <x:c r="K425" s="40" t="str"/>
    </x:row>
    <x:row r="426">
      <x:c r="A426" s="34" t="n">
        <x:v>46320</x:v>
      </x:c>
      <x:c r="B426" s="40" t="str">
        <x:v>Atualidades e Inteligência Artificial</x:v>
      </x:c>
      <x:c r="C426" s="40" t="str">
        <x:v>2 - Teste de Turing e Tipos de IA</x:v>
      </x:c>
      <x:c r="D426" s="40" t="str">
        <x:v>Videoaula</x:v>
      </x:c>
      <x:c r="E426" s="40" t="str">
        <x:v>Não iniciado</x:v>
      </x:c>
      <x:c r="F426" s="41" t="str"/>
      <x:c r="G426" s="42" t="str"/>
      <x:c r="H426" s="40" t="str">
        <x:v>Normal</x:v>
      </x:c>
      <x:c r="I426" s="40" t="str">
        <x:f>IF(E426="Concluído","Concluído",IF(A426&lt;TODAY(),"Atrasado",IF(A426=TODAY(),"Hoje","Futuro")))</x:f>
        <x:v>Futuro</x:v>
      </x:c>
      <x:c r="J426" s="43" t="n">
        <x:f>IF(OR(E426="Concluído",A426&gt;=TODAY()),0,TODAY()-A426)</x:f>
        <x:v>0</x:v>
      </x:c>
      <x:c r="K426" s="40" t="str"/>
    </x:row>
    <x:row r="427">
      <x:c r="A427" s="34" t="n">
        <x:v>46320</x:v>
      </x:c>
      <x:c r="B427" s="40" t="str">
        <x:v>Revisão</x:v>
      </x:c>
      <x:c r="C427" s="40" t="str">
        <x:v>Revisão</x:v>
      </x:c>
      <x:c r="D427" s="40" t="str">
        <x:v>Revisao</x:v>
      </x:c>
      <x:c r="E427" s="40" t="str">
        <x:v>Não iniciado</x:v>
      </x:c>
      <x:c r="F427" s="41" t="str"/>
      <x:c r="G427" s="42" t="str"/>
      <x:c r="H427" s="40" t="str">
        <x:v>Normal</x:v>
      </x:c>
      <x:c r="I427" s="40" t="str">
        <x:f>IF(E427="Concluído","Concluído",IF(A427&lt;TODAY(),"Atrasado",IF(A427=TODAY(),"Hoje","Futuro")))</x:f>
        <x:v>Futuro</x:v>
      </x:c>
      <x:c r="J427" s="43" t="n">
        <x:f>IF(OR(E427="Concluído",A427&gt;=TODAY()),0,TODAY()-A427)</x:f>
        <x:v>0</x:v>
      </x:c>
      <x:c r="K427" s="40" t="str"/>
    </x:row>
    <x:row r="428">
      <x:c r="A428" s="34" t="n">
        <x:v>46321</x:v>
      </x:c>
      <x:c r="B428" s="40" t="str">
        <x:v>Atualidades e Inteligência Artificial</x:v>
      </x:c>
      <x:c r="C428" s="40" t="str">
        <x:v>2 - Teste de Turing e Tipos de IA</x:v>
      </x:c>
      <x:c r="D428" s="40" t="str">
        <x:v>Videoaula</x:v>
      </x:c>
      <x:c r="E428" s="40" t="str">
        <x:v>Não iniciado</x:v>
      </x:c>
      <x:c r="F428" s="41" t="str"/>
      <x:c r="G428" s="42" t="str"/>
      <x:c r="H428" s="40" t="str">
        <x:v>Normal</x:v>
      </x:c>
      <x:c r="I428" s="40" t="str">
        <x:f>IF(E428="Concluído","Concluído",IF(A428&lt;TODAY(),"Atrasado",IF(A428=TODAY(),"Hoje","Futuro")))</x:f>
        <x:v>Futuro</x:v>
      </x:c>
      <x:c r="J428" s="43" t="n">
        <x:f>IF(OR(E428="Concluído",A428&gt;=TODAY()),0,TODAY()-A428)</x:f>
        <x:v>0</x:v>
      </x:c>
      <x:c r="K428" s="40" t="str"/>
    </x:row>
    <x:row r="429">
      <x:c r="A429" s="34" t="n">
        <x:v>46321</x:v>
      </x:c>
      <x:c r="B429" s="40" t="str">
        <x:v>Legislação Acerca de Segurança da Informação e Proteção de Dados</x:v>
      </x:c>
      <x:c r="C429" s="40" t="str">
        <x:v>11 - Lei nº 13.709/2018 - Lei Geral de Proteção de Dados Pessoais - LGPD XI</x:v>
      </x:c>
      <x:c r="D429" s="40" t="str">
        <x:v>Videoaula</x:v>
      </x:c>
      <x:c r="E429" s="40" t="str">
        <x:v>Não iniciado</x:v>
      </x:c>
      <x:c r="F429" s="41" t="str"/>
      <x:c r="G429" s="42" t="str"/>
      <x:c r="H429" s="40" t="str">
        <x:v>Normal</x:v>
      </x:c>
      <x:c r="I429" s="40" t="str">
        <x:f>IF(E429="Concluído","Concluído",IF(A429&lt;TODAY(),"Atrasado",IF(A429=TODAY(),"Hoje","Futuro")))</x:f>
        <x:v>Futuro</x:v>
      </x:c>
      <x:c r="J429" s="43" t="n">
        <x:f>IF(OR(E429="Concluído",A429&gt;=TODAY()),0,TODAY()-A429)</x:f>
        <x:v>0</x:v>
      </x:c>
      <x:c r="K429" s="40" t="str"/>
    </x:row>
    <x:row r="430">
      <x:c r="A430" s="34" t="n">
        <x:v>46321</x:v>
      </x:c>
      <x:c r="B430" s="40" t="str">
        <x:v>Legislação Acerca de Segurança da Informação e Proteção de Dados</x:v>
      </x:c>
      <x:c r="C430" s="40" t="str">
        <x:v>12 - Lei nº 13.709/2018 - Lei Geral de Proteção de Dados Pessoais - LGPD XII</x:v>
      </x:c>
      <x:c r="D430" s="40" t="str">
        <x:v>Videoaula</x:v>
      </x:c>
      <x:c r="E430" s="40" t="str">
        <x:v>Não iniciado</x:v>
      </x:c>
      <x:c r="F430" s="41" t="str"/>
      <x:c r="G430" s="42" t="str"/>
      <x:c r="H430" s="40" t="str">
        <x:v>Normal</x:v>
      </x:c>
      <x:c r="I430" s="40" t="str">
        <x:f>IF(E430="Concluído","Concluído",IF(A430&lt;TODAY(),"Atrasado",IF(A430=TODAY(),"Hoje","Futuro")))</x:f>
        <x:v>Futuro</x:v>
      </x:c>
      <x:c r="J430" s="43" t="n">
        <x:f>IF(OR(E430="Concluído",A430&gt;=TODAY()),0,TODAY()-A430)</x:f>
        <x:v>0</x:v>
      </x:c>
      <x:c r="K430" s="40" t="str"/>
    </x:row>
    <x:row r="431">
      <x:c r="A431" s="34" t="n">
        <x:v>46321</x:v>
      </x:c>
      <x:c r="B431" s="40" t="str">
        <x:v>Gestão e Governança de Tecnologia da Informação</x:v>
      </x:c>
      <x:c r="C431" s="40" t="str">
        <x:v>16 - Instrução Normativa SGD/ME nº 94/2022 - Contratação de Soluções de Tecnologia da Informação e Comunicação - TIC XVI</x:v>
      </x:c>
      <x:c r="D431" s="40" t="str">
        <x:v>Videoaula</x:v>
      </x:c>
      <x:c r="E431" s="40" t="str">
        <x:v>Não iniciado</x:v>
      </x:c>
      <x:c r="F431" s="41" t="str"/>
      <x:c r="G431" s="42" t="str"/>
      <x:c r="H431" s="40" t="str">
        <x:v>Normal</x:v>
      </x:c>
      <x:c r="I431" s="40" t="str">
        <x:f>IF(E431="Concluído","Concluído",IF(A431&lt;TODAY(),"Atrasado",IF(A431=TODAY(),"Hoje","Futuro")))</x:f>
        <x:v>Futuro</x:v>
      </x:c>
      <x:c r="J431" s="43" t="n">
        <x:f>IF(OR(E431="Concluído",A431&gt;=TODAY()),0,TODAY()-A431)</x:f>
        <x:v>0</x:v>
      </x:c>
      <x:c r="K431" s="40" t="str"/>
    </x:row>
    <x:row r="432">
      <x:c r="A432" s="34" t="n">
        <x:v>46322</x:v>
      </x:c>
      <x:c r="B432" s="40" t="str">
        <x:v>Gestão e Governança de Tecnologia da Informação</x:v>
      </x:c>
      <x:c r="C432" s="40" t="str">
        <x:v>16 - Instrução Normativa SGD/ME nº 94/2022 - Contratação de Soluções de Tecnologia da Informação e Comunicação - TIC XVI</x:v>
      </x:c>
      <x:c r="D432" s="40" t="str">
        <x:v>Videoaula</x:v>
      </x:c>
      <x:c r="E432" s="40" t="str">
        <x:v>Não iniciado</x:v>
      </x:c>
      <x:c r="F432" s="41" t="str"/>
      <x:c r="G432" s="42" t="str"/>
      <x:c r="H432" s="40" t="str">
        <x:v>Normal</x:v>
      </x:c>
      <x:c r="I432" s="40" t="str">
        <x:f>IF(E432="Concluído","Concluído",IF(A432&lt;TODAY(),"Atrasado",IF(A432=TODAY(),"Hoje","Futuro")))</x:f>
        <x:v>Futuro</x:v>
      </x:c>
      <x:c r="J432" s="43" t="n">
        <x:f>IF(OR(E432="Concluído",A432&gt;=TODAY()),0,TODAY()-A432)</x:f>
        <x:v>0</x:v>
      </x:c>
      <x:c r="K432" s="40" t="str"/>
    </x:row>
    <x:row r="433">
      <x:c r="A433" s="34" t="n">
        <x:v>46322</x:v>
      </x:c>
      <x:c r="B433" s="40" t="str">
        <x:v>Gestão e Governança de Tecnologia da Informação</x:v>
      </x:c>
      <x:c r="C433" s="40" t="str">
        <x:v>1 - Gestão de Projetos - PMBOK 7ª Edição</x:v>
      </x:c>
      <x:c r="D433" s="40" t="str">
        <x:v>Videoaula</x:v>
      </x:c>
      <x:c r="E433" s="40" t="str">
        <x:v>Não iniciado</x:v>
      </x:c>
      <x:c r="F433" s="41" t="str"/>
      <x:c r="G433" s="42" t="str"/>
      <x:c r="H433" s="40" t="str">
        <x:v>Normal</x:v>
      </x:c>
      <x:c r="I433" s="40" t="str">
        <x:f>IF(E433="Concluído","Concluído",IF(A433&lt;TODAY(),"Atrasado",IF(A433=TODAY(),"Hoje","Futuro")))</x:f>
        <x:v>Futuro</x:v>
      </x:c>
      <x:c r="J433" s="43" t="n">
        <x:f>IF(OR(E433="Concluído",A433&gt;=TODAY()),0,TODAY()-A433)</x:f>
        <x:v>0</x:v>
      </x:c>
      <x:c r="K433" s="40" t="str"/>
    </x:row>
    <x:row r="434">
      <x:c r="A434" s="34" t="n">
        <x:v>46322</x:v>
      </x:c>
      <x:c r="B434" s="40" t="str">
        <x:v>Banco de Dados</x:v>
      </x:c>
      <x:c r="C434" s="40" t="str">
        <x:v>18 - Banco de Dados - Linguagem SQL IV</x:v>
      </x:c>
      <x:c r="D434" s="40" t="str">
        <x:v>Videoaula</x:v>
      </x:c>
      <x:c r="E434" s="40" t="str">
        <x:v>Não iniciado</x:v>
      </x:c>
      <x:c r="F434" s="41" t="str"/>
      <x:c r="G434" s="42" t="str"/>
      <x:c r="H434" s="40" t="str">
        <x:v>Normal</x:v>
      </x:c>
      <x:c r="I434" s="40" t="str">
        <x:f>IF(E434="Concluído","Concluído",IF(A434&lt;TODAY(),"Atrasado",IF(A434=TODAY(),"Hoje","Futuro")))</x:f>
        <x:v>Futuro</x:v>
      </x:c>
      <x:c r="J434" s="43" t="n">
        <x:f>IF(OR(E434="Concluído",A434&gt;=TODAY()),0,TODAY()-A434)</x:f>
        <x:v>0</x:v>
      </x:c>
      <x:c r="K434" s="40" t="str"/>
    </x:row>
    <x:row r="435">
      <x:c r="A435" s="34" t="n">
        <x:v>46322</x:v>
      </x:c>
      <x:c r="B435" s="40" t="str">
        <x:v>Banco de Dados</x:v>
      </x:c>
      <x:c r="C435" s="40" t="str">
        <x:v>19 - Banco de Dados - Linguagem SQL - V</x:v>
      </x:c>
      <x:c r="D435" s="40" t="str">
        <x:v>Videoaula</x:v>
      </x:c>
      <x:c r="E435" s="40" t="str">
        <x:v>Não iniciado</x:v>
      </x:c>
      <x:c r="F435" s="41" t="str"/>
      <x:c r="G435" s="42" t="str"/>
      <x:c r="H435" s="40" t="str">
        <x:v>Normal</x:v>
      </x:c>
      <x:c r="I435" s="40" t="str">
        <x:f>IF(E435="Concluído","Concluído",IF(A435&lt;TODAY(),"Atrasado",IF(A435=TODAY(),"Hoje","Futuro")))</x:f>
        <x:v>Futuro</x:v>
      </x:c>
      <x:c r="J435" s="43" t="n">
        <x:f>IF(OR(E435="Concluído",A435&gt;=TODAY()),0,TODAY()-A435)</x:f>
        <x:v>0</x:v>
      </x:c>
      <x:c r="K435" s="40" t="str"/>
    </x:row>
    <x:row r="436">
      <x:c r="A436" s="34" t="n">
        <x:v>46322</x:v>
      </x:c>
      <x:c r="B436" s="40" t="str">
        <x:v>Língua Portuguesa</x:v>
      </x:c>
      <x:c r="C436" s="40" t="str">
        <x:v>6 - Emprego e Sentido das Classes Gramaticais - Parte I</x:v>
      </x:c>
      <x:c r="D436" s="40" t="str">
        <x:v>Pdf</x:v>
      </x:c>
      <x:c r="E436" s="40" t="str">
        <x:v>Não iniciado</x:v>
      </x:c>
      <x:c r="F436" s="41" t="str"/>
      <x:c r="G436" s="42" t="str"/>
      <x:c r="H436" s="40" t="str">
        <x:v>Normal</x:v>
      </x:c>
      <x:c r="I436" s="40" t="str">
        <x:f>IF(E436="Concluído","Concluído",IF(A436&lt;TODAY(),"Atrasado",IF(A436=TODAY(),"Hoje","Futuro")))</x:f>
        <x:v>Futuro</x:v>
      </x:c>
      <x:c r="J436" s="43" t="n">
        <x:f>IF(OR(E436="Concluído",A436&gt;=TODAY()),0,TODAY()-A436)</x:f>
        <x:v>0</x:v>
      </x:c>
      <x:c r="K436" s="40" t="str"/>
    </x:row>
    <x:row r="437">
      <x:c r="A437" s="34" t="n">
        <x:v>46323</x:v>
      </x:c>
      <x:c r="B437" s="40" t="str">
        <x:v>Língua Portuguesa</x:v>
      </x:c>
      <x:c r="C437" s="40" t="str">
        <x:v>6 - Emprego e Sentido das Classes Gramaticais - Parte I</x:v>
      </x:c>
      <x:c r="D437" s="40" t="str">
        <x:v>Pdf</x:v>
      </x:c>
      <x:c r="E437" s="40" t="str">
        <x:v>Não iniciado</x:v>
      </x:c>
      <x:c r="F437" s="41" t="str"/>
      <x:c r="G437" s="42" t="str"/>
      <x:c r="H437" s="40" t="str">
        <x:v>Normal</x:v>
      </x:c>
      <x:c r="I437" s="40" t="str">
        <x:f>IF(E437="Concluído","Concluído",IF(A437&lt;TODAY(),"Atrasado",IF(A437=TODAY(),"Hoje","Futuro")))</x:f>
        <x:v>Futuro</x:v>
      </x:c>
      <x:c r="J437" s="43" t="n">
        <x:f>IF(OR(E437="Concluído",A437&gt;=TODAY()),0,TODAY()-A437)</x:f>
        <x:v>0</x:v>
      </x:c>
      <x:c r="K437" s="40" t="str"/>
    </x:row>
    <x:row r="438">
      <x:c r="A438" s="34" t="n">
        <x:v>46324</x:v>
      </x:c>
      <x:c r="B438" s="40" t="str">
        <x:v>Língua Portuguesa</x:v>
      </x:c>
      <x:c r="C438" s="40" t="str">
        <x:v>6 - Emprego e Sentido das Classes Gramaticais - Parte I</x:v>
      </x:c>
      <x:c r="D438" s="40" t="str">
        <x:v>Pdf</x:v>
      </x:c>
      <x:c r="E438" s="40" t="str">
        <x:v>Não iniciado</x:v>
      </x:c>
      <x:c r="F438" s="41" t="str"/>
      <x:c r="G438" s="42" t="str"/>
      <x:c r="H438" s="40" t="str">
        <x:v>Normal</x:v>
      </x:c>
      <x:c r="I438" s="40" t="str">
        <x:f>IF(E438="Concluído","Concluído",IF(A438&lt;TODAY(),"Atrasado",IF(A438=TODAY(),"Hoje","Futuro")))</x:f>
        <x:v>Futuro</x:v>
      </x:c>
      <x:c r="J438" s="43" t="n">
        <x:f>IF(OR(E438="Concluído",A438&gt;=TODAY()),0,TODAY()-A438)</x:f>
        <x:v>0</x:v>
      </x:c>
      <x:c r="K438" s="40" t="str"/>
    </x:row>
    <x:row r="439">
      <x:c r="A439" s="34" t="n">
        <x:v>46324</x:v>
      </x:c>
      <x:c r="B439" s="40" t="str">
        <x:v>Inteligência Emocional</x:v>
      </x:c>
      <x:c r="C439" s="40" t="str">
        <x:v>17 - ELO 17: A Comparação e o Concurseiro</x:v>
      </x:c>
      <x:c r="D439" s="40" t="str">
        <x:v>Pdf</x:v>
      </x:c>
      <x:c r="E439" s="40" t="str">
        <x:v>Não iniciado</x:v>
      </x:c>
      <x:c r="F439" s="41" t="str"/>
      <x:c r="G439" s="42" t="str"/>
      <x:c r="H439" s="40" t="str">
        <x:v>Normal</x:v>
      </x:c>
      <x:c r="I439" s="40" t="str">
        <x:f>IF(E439="Concluído","Concluído",IF(A439&lt;TODAY(),"Atrasado",IF(A439=TODAY(),"Hoje","Futuro")))</x:f>
        <x:v>Futuro</x:v>
      </x:c>
      <x:c r="J439" s="43" t="n">
        <x:f>IF(OR(E439="Concluído",A439&gt;=TODAY()),0,TODAY()-A439)</x:f>
        <x:v>0</x:v>
      </x:c>
      <x:c r="K439" s="40" t="str"/>
    </x:row>
    <x:row r="440">
      <x:c r="A440" s="34" t="n">
        <x:v>46324</x:v>
      </x:c>
      <x:c r="B440" s="40" t="str">
        <x:v>Língua Portuguesa</x:v>
      </x:c>
      <x:c r="C440" s="40" t="str">
        <x:v>5 - Classes de Palavras V</x:v>
      </x:c>
      <x:c r="D440" s="40" t="str">
        <x:v>Videoaula</x:v>
      </x:c>
      <x:c r="E440" s="40" t="str">
        <x:v>Não iniciado</x:v>
      </x:c>
      <x:c r="F440" s="41" t="str"/>
      <x:c r="G440" s="42" t="str"/>
      <x:c r="H440" s="40" t="str">
        <x:v>Normal</x:v>
      </x:c>
      <x:c r="I440" s="40" t="str">
        <x:f>IF(E440="Concluído","Concluído",IF(A440&lt;TODAY(),"Atrasado",IF(A440=TODAY(),"Hoje","Futuro")))</x:f>
        <x:v>Futuro</x:v>
      </x:c>
      <x:c r="J440" s="43" t="n">
        <x:f>IF(OR(E440="Concluído",A440&gt;=TODAY()),0,TODAY()-A440)</x:f>
        <x:v>0</x:v>
      </x:c>
      <x:c r="K440" s="40" t="str"/>
    </x:row>
    <x:row r="441">
      <x:c r="A441" s="34" t="n">
        <x:v>46325</x:v>
      </x:c>
      <x:c r="B441" s="40" t="str">
        <x:v>Língua Portuguesa</x:v>
      </x:c>
      <x:c r="C441" s="40" t="str">
        <x:v>5 - Classes de Palavras V</x:v>
      </x:c>
      <x:c r="D441" s="40" t="str">
        <x:v>Videoaula</x:v>
      </x:c>
      <x:c r="E441" s="40" t="str">
        <x:v>Não iniciado</x:v>
      </x:c>
      <x:c r="F441" s="41" t="str"/>
      <x:c r="G441" s="42" t="str"/>
      <x:c r="H441" s="40" t="str">
        <x:v>Normal</x:v>
      </x:c>
      <x:c r="I441" s="40" t="str">
        <x:f>IF(E441="Concluído","Concluído",IF(A441&lt;TODAY(),"Atrasado",IF(A441=TODAY(),"Hoje","Futuro")))</x:f>
        <x:v>Futuro</x:v>
      </x:c>
      <x:c r="J441" s="43" t="n">
        <x:f>IF(OR(E441="Concluído",A441&gt;=TODAY()),0,TODAY()-A441)</x:f>
        <x:v>0</x:v>
      </x:c>
      <x:c r="K441" s="40" t="str"/>
    </x:row>
    <x:row r="442">
      <x:c r="A442" s="34" t="n">
        <x:v>46325</x:v>
      </x:c>
      <x:c r="B442" s="40" t="str">
        <x:v>Língua Portuguesa</x:v>
      </x:c>
      <x:c r="C442" s="40" t="str">
        <x:v>6 - Classes de Palavras VI</x:v>
      </x:c>
      <x:c r="D442" s="40" t="str">
        <x:v>Videoaula</x:v>
      </x:c>
      <x:c r="E442" s="40" t="str">
        <x:v>Não iniciado</x:v>
      </x:c>
      <x:c r="F442" s="41" t="str"/>
      <x:c r="G442" s="42" t="str"/>
      <x:c r="H442" s="40" t="str">
        <x:v>Normal</x:v>
      </x:c>
      <x:c r="I442" s="40" t="str">
        <x:f>IF(E442="Concluído","Concluído",IF(A442&lt;TODAY(),"Atrasado",IF(A442=TODAY(),"Hoje","Futuro")))</x:f>
        <x:v>Futuro</x:v>
      </x:c>
      <x:c r="J442" s="43" t="n">
        <x:f>IF(OR(E442="Concluído",A442&gt;=TODAY()),0,TODAY()-A442)</x:f>
        <x:v>0</x:v>
      </x:c>
      <x:c r="K442" s="40" t="str"/>
    </x:row>
    <x:row r="443">
      <x:c r="A443" s="34" t="n">
        <x:v>46325</x:v>
      </x:c>
      <x:c r="B443" s="40" t="str">
        <x:v>Língua Inglesa</x:v>
      </x:c>
      <x:c r="C443" s="40" t="str">
        <x:v>34 - Atualidade 2024 - Alien Life In Universe</x:v>
      </x:c>
      <x:c r="D443" s="40" t="str">
        <x:v>Videoaula</x:v>
      </x:c>
      <x:c r="E443" s="40" t="str">
        <x:v>Não iniciado</x:v>
      </x:c>
      <x:c r="F443" s="41" t="str"/>
      <x:c r="G443" s="42" t="str"/>
      <x:c r="H443" s="40" t="str">
        <x:v>Normal</x:v>
      </x:c>
      <x:c r="I443" s="40" t="str">
        <x:f>IF(E443="Concluído","Concluído",IF(A443&lt;TODAY(),"Atrasado",IF(A443=TODAY(),"Hoje","Futuro")))</x:f>
        <x:v>Futuro</x:v>
      </x:c>
      <x:c r="J443" s="43" t="n">
        <x:f>IF(OR(E443="Concluído",A443&gt;=TODAY()),0,TODAY()-A443)</x:f>
        <x:v>0</x:v>
      </x:c>
      <x:c r="K443" s="40" t="str"/>
    </x:row>
    <x:row r="444">
      <x:c r="A444" s="34" t="n">
        <x:v>46325</x:v>
      </x:c>
      <x:c r="B444" s="40" t="str">
        <x:v>Língua Inglesa</x:v>
      </x:c>
      <x:c r="C444" s="40" t="str">
        <x:v>35 - Atualidade 2024 - Alien Life In Universe II</x:v>
      </x:c>
      <x:c r="D444" s="40" t="str">
        <x:v>Videoaula</x:v>
      </x:c>
      <x:c r="E444" s="40" t="str">
        <x:v>Não iniciado</x:v>
      </x:c>
      <x:c r="F444" s="41" t="str"/>
      <x:c r="G444" s="42" t="str"/>
      <x:c r="H444" s="40" t="str">
        <x:v>Normal</x:v>
      </x:c>
      <x:c r="I444" s="40" t="str">
        <x:f>IF(E444="Concluído","Concluído",IF(A444&lt;TODAY(),"Atrasado",IF(A444=TODAY(),"Hoje","Futuro")))</x:f>
        <x:v>Futuro</x:v>
      </x:c>
      <x:c r="J444" s="43" t="n">
        <x:f>IF(OR(E444="Concluído",A444&gt;=TODAY()),0,TODAY()-A444)</x:f>
        <x:v>0</x:v>
      </x:c>
      <x:c r="K444" s="40" t="str"/>
    </x:row>
    <x:row r="445">
      <x:c r="A445" s="34" t="n">
        <x:v>46325</x:v>
      </x:c>
      <x:c r="B445" s="40" t="str">
        <x:v>Atualidades e Inteligência Artificial</x:v>
      </x:c>
      <x:c r="C445" s="40" t="str">
        <x:v>3 - Áreas da IA</x:v>
      </x:c>
      <x:c r="D445" s="40" t="str">
        <x:v>Videoaula</x:v>
      </x:c>
      <x:c r="E445" s="40" t="str">
        <x:v>Não iniciado</x:v>
      </x:c>
      <x:c r="F445" s="41" t="str"/>
      <x:c r="G445" s="42" t="str"/>
      <x:c r="H445" s="40" t="str">
        <x:v>Normal</x:v>
      </x:c>
      <x:c r="I445" s="40" t="str">
        <x:f>IF(E445="Concluído","Concluído",IF(A445&lt;TODAY(),"Atrasado",IF(A445=TODAY(),"Hoje","Futuro")))</x:f>
        <x:v>Futuro</x:v>
      </x:c>
      <x:c r="J445" s="43" t="n">
        <x:f>IF(OR(E445="Concluído",A445&gt;=TODAY()),0,TODAY()-A445)</x:f>
        <x:v>0</x:v>
      </x:c>
      <x:c r="K445" s="40" t="str"/>
    </x:row>
    <x:row r="446">
      <x:c r="A446" s="34" t="n">
        <x:v>46326</x:v>
      </x:c>
      <x:c r="B446" s="40" t="str">
        <x:v>Atualidades e Inteligência Artificial</x:v>
      </x:c>
      <x:c r="C446" s="40" t="str">
        <x:v>3 - Áreas da IA</x:v>
      </x:c>
      <x:c r="D446" s="40" t="str">
        <x:v>Videoaula</x:v>
      </x:c>
      <x:c r="E446" s="40" t="str">
        <x:v>Não iniciado</x:v>
      </x:c>
      <x:c r="F446" s="41" t="str"/>
      <x:c r="G446" s="42" t="str"/>
      <x:c r="H446" s="40" t="str">
        <x:v>Normal</x:v>
      </x:c>
      <x:c r="I446" s="40" t="str">
        <x:f>IF(E446="Concluído","Concluído",IF(A446&lt;TODAY(),"Atrasado",IF(A446=TODAY(),"Hoje","Futuro")))</x:f>
        <x:v>Futuro</x:v>
      </x:c>
      <x:c r="J446" s="43" t="n">
        <x:f>IF(OR(E446="Concluído",A446&gt;=TODAY()),0,TODAY()-A446)</x:f>
        <x:v>0</x:v>
      </x:c>
      <x:c r="K446" s="40" t="str"/>
    </x:row>
    <x:row r="447">
      <x:c r="A447" s="34" t="n">
        <x:v>46326</x:v>
      </x:c>
      <x:c r="B447" s="40" t="str">
        <x:v>Atualidades e Inteligência Artificial</x:v>
      </x:c>
      <x:c r="C447" s="40" t="str">
        <x:v>4 - Inovação no Poder Judiciário</x:v>
      </x:c>
      <x:c r="D447" s="40" t="str">
        <x:v>Videoaula</x:v>
      </x:c>
      <x:c r="E447" s="40" t="str">
        <x:v>Não iniciado</x:v>
      </x:c>
      <x:c r="F447" s="41" t="str"/>
      <x:c r="G447" s="42" t="str"/>
      <x:c r="H447" s="40" t="str">
        <x:v>Normal</x:v>
      </x:c>
      <x:c r="I447" s="40" t="str">
        <x:f>IF(E447="Concluído","Concluído",IF(A447&lt;TODAY(),"Atrasado",IF(A447=TODAY(),"Hoje","Futuro")))</x:f>
        <x:v>Futuro</x:v>
      </x:c>
      <x:c r="J447" s="43" t="n">
        <x:f>IF(OR(E447="Concluído",A447&gt;=TODAY()),0,TODAY()-A447)</x:f>
        <x:v>0</x:v>
      </x:c>
      <x:c r="K447" s="40" t="str"/>
    </x:row>
    <x:row r="448">
      <x:c r="A448" s="34" t="n">
        <x:v>46326</x:v>
      </x:c>
      <x:c r="B448" s="40" t="str">
        <x:v>Legislação Acerca de Segurança da Informação e Proteção de Dados</x:v>
      </x:c>
      <x:c r="C448" s="40" t="str">
        <x:v>13 - Lei nº 13.709/2018 - Lei Geral de Proteção de Dados Pessoais - LGPD XIII</x:v>
      </x:c>
      <x:c r="D448" s="40" t="str">
        <x:v>Videoaula</x:v>
      </x:c>
      <x:c r="E448" s="40" t="str">
        <x:v>Não iniciado</x:v>
      </x:c>
      <x:c r="F448" s="41" t="str"/>
      <x:c r="G448" s="42" t="str"/>
      <x:c r="H448" s="40" t="str">
        <x:v>Normal</x:v>
      </x:c>
      <x:c r="I448" s="40" t="str">
        <x:f>IF(E448="Concluído","Concluído",IF(A448&lt;TODAY(),"Atrasado",IF(A448=TODAY(),"Hoje","Futuro")))</x:f>
        <x:v>Futuro</x:v>
      </x:c>
      <x:c r="J448" s="43" t="n">
        <x:f>IF(OR(E448="Concluído",A448&gt;=TODAY()),0,TODAY()-A448)</x:f>
        <x:v>0</x:v>
      </x:c>
      <x:c r="K448" s="40" t="str"/>
    </x:row>
    <x:row r="449">
      <x:c r="A449" s="34" t="n">
        <x:v>46326</x:v>
      </x:c>
      <x:c r="B449" s="40" t="str">
        <x:v>Legislação Acerca de Segurança da Informação e Proteção de Dados</x:v>
      </x:c>
      <x:c r="C449" s="40" t="str">
        <x:v>14 - Lei nº 13.709/2018 - Lei Geral de Proteção de Dados Pessoais - LGPD XIV</x:v>
      </x:c>
      <x:c r="D449" s="40" t="str">
        <x:v>Videoaula</x:v>
      </x:c>
      <x:c r="E449" s="40" t="str">
        <x:v>Não iniciado</x:v>
      </x:c>
      <x:c r="F449" s="41" t="str"/>
      <x:c r="G449" s="42" t="str"/>
      <x:c r="H449" s="40" t="str">
        <x:v>Normal</x:v>
      </x:c>
      <x:c r="I449" s="40" t="str">
        <x:f>IF(E449="Concluído","Concluído",IF(A449&lt;TODAY(),"Atrasado",IF(A449=TODAY(),"Hoje","Futuro")))</x:f>
        <x:v>Futuro</x:v>
      </x:c>
      <x:c r="J449" s="43" t="n">
        <x:f>IF(OR(E449="Concluído",A449&gt;=TODAY()),0,TODAY()-A449)</x:f>
        <x:v>0</x:v>
      </x:c>
      <x:c r="K449" s="40" t="str"/>
    </x:row>
    <x:row r="450">
      <x:c r="A450" s="34" t="n">
        <x:v>46327</x:v>
      </x:c>
      <x:c r="B450" s="40" t="str">
        <x:v>Gestão e Governança de Tecnologia da Informação</x:v>
      </x:c>
      <x:c r="C450" s="40" t="str">
        <x:v>2 - Gestão de Projetos - PMBOK 7ª Edição II</x:v>
      </x:c>
      <x:c r="D450" s="40" t="str">
        <x:v>Videoaula</x:v>
      </x:c>
      <x:c r="E450" s="40" t="str">
        <x:v>Não iniciado</x:v>
      </x:c>
      <x:c r="F450" s="41" t="str"/>
      <x:c r="G450" s="42" t="str"/>
      <x:c r="H450" s="40" t="str">
        <x:v>Normal</x:v>
      </x:c>
      <x:c r="I450" s="40" t="str">
        <x:f>IF(E450="Concluído","Concluído",IF(A450&lt;TODAY(),"Atrasado",IF(A450=TODAY(),"Hoje","Futuro")))</x:f>
        <x:v>Futuro</x:v>
      </x:c>
      <x:c r="J450" s="43" t="n">
        <x:f>IF(OR(E450="Concluído",A450&gt;=TODAY()),0,TODAY()-A450)</x:f>
        <x:v>0</x:v>
      </x:c>
      <x:c r="K450" s="40" t="str"/>
    </x:row>
    <x:row r="451">
      <x:c r="A451" s="34" t="n">
        <x:v>46327</x:v>
      </x:c>
      <x:c r="B451" s="40" t="str">
        <x:v>Gestão e Governança de Tecnologia da Informação</x:v>
      </x:c>
      <x:c r="C451" s="40" t="str">
        <x:v>3 - Gestão de Projetos - PMBOK 7ª Edição III</x:v>
      </x:c>
      <x:c r="D451" s="40" t="str">
        <x:v>Videoaula</x:v>
      </x:c>
      <x:c r="E451" s="40" t="str">
        <x:v>Não iniciado</x:v>
      </x:c>
      <x:c r="F451" s="41" t="str"/>
      <x:c r="G451" s="42" t="str"/>
      <x:c r="H451" s="40" t="str">
        <x:v>Normal</x:v>
      </x:c>
      <x:c r="I451" s="40" t="str">
        <x:f>IF(E451="Concluído","Concluído",IF(A451&lt;TODAY(),"Atrasado",IF(A451=TODAY(),"Hoje","Futuro")))</x:f>
        <x:v>Futuro</x:v>
      </x:c>
      <x:c r="J451" s="43" t="n">
        <x:f>IF(OR(E451="Concluído",A451&gt;=TODAY()),0,TODAY()-A451)</x:f>
        <x:v>0</x:v>
      </x:c>
      <x:c r="K451" s="40" t="str"/>
    </x:row>
    <x:row r="452">
      <x:c r="A452" s="34" t="n">
        <x:v>46327</x:v>
      </x:c>
      <x:c r="B452" s="40" t="str">
        <x:v>Banco de Dados</x:v>
      </x:c>
      <x:c r="C452" s="40" t="str">
        <x:v>20 - Banco de Dados - Linguagem SQL - VI</x:v>
      </x:c>
      <x:c r="D452" s="40" t="str">
        <x:v>Videoaula</x:v>
      </x:c>
      <x:c r="E452" s="40" t="str">
        <x:v>Não iniciado</x:v>
      </x:c>
      <x:c r="F452" s="41" t="str"/>
      <x:c r="G452" s="42" t="str"/>
      <x:c r="H452" s="40" t="str">
        <x:v>Normal</x:v>
      </x:c>
      <x:c r="I452" s="40" t="str">
        <x:f>IF(E452="Concluído","Concluído",IF(A452&lt;TODAY(),"Atrasado",IF(A452=TODAY(),"Hoje","Futuro")))</x:f>
        <x:v>Futuro</x:v>
      </x:c>
      <x:c r="J452" s="43" t="n">
        <x:f>IF(OR(E452="Concluído",A452&gt;=TODAY()),0,TODAY()-A452)</x:f>
        <x:v>0</x:v>
      </x:c>
      <x:c r="K452" s="40" t="str"/>
    </x:row>
    <x:row r="453">
      <x:c r="A453" s="34" t="n">
        <x:v>46327</x:v>
      </x:c>
      <x:c r="B453" s="40" t="str">
        <x:v>Banco de Dados</x:v>
      </x:c>
      <x:c r="C453" s="40" t="str">
        <x:v>21 - Banco de Dados - Linguagem SQL - VII</x:v>
      </x:c>
      <x:c r="D453" s="40" t="str">
        <x:v>Videoaula</x:v>
      </x:c>
      <x:c r="E453" s="40" t="str">
        <x:v>Não iniciado</x:v>
      </x:c>
      <x:c r="F453" s="41" t="str"/>
      <x:c r="G453" s="42" t="str"/>
      <x:c r="H453" s="40" t="str">
        <x:v>Normal</x:v>
      </x:c>
      <x:c r="I453" s="40" t="str">
        <x:f>IF(E453="Concluído","Concluído",IF(A453&lt;TODAY(),"Atrasado",IF(A453=TODAY(),"Hoje","Futuro")))</x:f>
        <x:v>Futuro</x:v>
      </x:c>
      <x:c r="J453" s="43" t="n">
        <x:f>IF(OR(E453="Concluído",A453&gt;=TODAY()),0,TODAY()-A453)</x:f>
        <x:v>0</x:v>
      </x:c>
      <x:c r="K453" s="40" t="str"/>
    </x:row>
    <x:row r="454">
      <x:c r="A454" s="34" t="n">
        <x:v>46327</x:v>
      </x:c>
      <x:c r="B454" s="40" t="str">
        <x:v>Revisão</x:v>
      </x:c>
      <x:c r="C454" s="40" t="str">
        <x:v>Revisão</x:v>
      </x:c>
      <x:c r="D454" s="40" t="str">
        <x:v>Revisao</x:v>
      </x:c>
      <x:c r="E454" s="40" t="str">
        <x:v>Não iniciado</x:v>
      </x:c>
      <x:c r="F454" s="41" t="str"/>
      <x:c r="G454" s="42" t="str"/>
      <x:c r="H454" s="40" t="str">
        <x:v>Normal</x:v>
      </x:c>
      <x:c r="I454" s="40" t="str">
        <x:f>IF(E454="Concluído","Concluído",IF(A454&lt;TODAY(),"Atrasado",IF(A454=TODAY(),"Hoje","Futuro")))</x:f>
        <x:v>Futuro</x:v>
      </x:c>
      <x:c r="J454" s="43" t="n">
        <x:f>IF(OR(E454="Concluído",A454&gt;=TODAY()),0,TODAY()-A454)</x:f>
        <x:v>0</x:v>
      </x:c>
      <x:c r="K454" s="40" t="str"/>
    </x:row>
    <x:row r="455">
      <x:c r="A455" s="34" t="n">
        <x:v>46328</x:v>
      </x:c>
      <x:c r="B455" s="40" t="str">
        <x:v>Banco de Dados</x:v>
      </x:c>
      <x:c r="C455" s="40" t="str">
        <x:v>21 - Banco de Dados - Linguagem SQL - VII</x:v>
      </x:c>
      <x:c r="D455" s="40" t="str">
        <x:v>Videoaula</x:v>
      </x:c>
      <x:c r="E455" s="40" t="str">
        <x:v>Não iniciado</x:v>
      </x:c>
      <x:c r="F455" s="41" t="str"/>
      <x:c r="G455" s="42" t="str"/>
      <x:c r="H455" s="40" t="str">
        <x:v>Normal</x:v>
      </x:c>
      <x:c r="I455" s="40" t="str">
        <x:f>IF(E455="Concluído","Concluído",IF(A455&lt;TODAY(),"Atrasado",IF(A455=TODAY(),"Hoje","Futuro")))</x:f>
        <x:v>Futuro</x:v>
      </x:c>
      <x:c r="J455" s="43" t="n">
        <x:f>IF(OR(E455="Concluído",A455&gt;=TODAY()),0,TODAY()-A455)</x:f>
        <x:v>0</x:v>
      </x:c>
      <x:c r="K455" s="40" t="str"/>
    </x:row>
    <x:row r="456">
      <x:c r="A456" s="34" t="n">
        <x:v>46328</x:v>
      </x:c>
      <x:c r="B456" s="40" t="str">
        <x:v>Língua Portuguesa</x:v>
      </x:c>
      <x:c r="C456" s="40" t="str">
        <x:v>7 - Emprego e Sentido das Classes Gramaticais - Parte II</x:v>
      </x:c>
      <x:c r="D456" s="40" t="str">
        <x:v>Pdf</x:v>
      </x:c>
      <x:c r="E456" s="40" t="str">
        <x:v>Não iniciado</x:v>
      </x:c>
      <x:c r="F456" s="41" t="str"/>
      <x:c r="G456" s="42" t="str"/>
      <x:c r="H456" s="40" t="str">
        <x:v>Normal</x:v>
      </x:c>
      <x:c r="I456" s="40" t="str">
        <x:f>IF(E456="Concluído","Concluído",IF(A456&lt;TODAY(),"Atrasado",IF(A456=TODAY(),"Hoje","Futuro")))</x:f>
        <x:v>Futuro</x:v>
      </x:c>
      <x:c r="J456" s="43" t="n">
        <x:f>IF(OR(E456="Concluído",A456&gt;=TODAY()),0,TODAY()-A456)</x:f>
        <x:v>0</x:v>
      </x:c>
      <x:c r="K456" s="40" t="str"/>
    </x:row>
    <x:row r="457">
      <x:c r="A457" s="34" t="n">
        <x:v>46329</x:v>
      </x:c>
      <x:c r="B457" s="40" t="str">
        <x:v>Língua Portuguesa</x:v>
      </x:c>
      <x:c r="C457" s="40" t="str">
        <x:v>7 - Emprego e Sentido das Classes Gramaticais - Parte II</x:v>
      </x:c>
      <x:c r="D457" s="40" t="str">
        <x:v>Pdf</x:v>
      </x:c>
      <x:c r="E457" s="40" t="str">
        <x:v>Não iniciado</x:v>
      </x:c>
      <x:c r="F457" s="41" t="str"/>
      <x:c r="G457" s="42" t="str"/>
      <x:c r="H457" s="40" t="str">
        <x:v>Normal</x:v>
      </x:c>
      <x:c r="I457" s="40" t="str">
        <x:f>IF(E457="Concluído","Concluído",IF(A457&lt;TODAY(),"Atrasado",IF(A457=TODAY(),"Hoje","Futuro")))</x:f>
        <x:v>Futuro</x:v>
      </x:c>
      <x:c r="J457" s="43" t="n">
        <x:f>IF(OR(E457="Concluído",A457&gt;=TODAY()),0,TODAY()-A457)</x:f>
        <x:v>0</x:v>
      </x:c>
      <x:c r="K457" s="40" t="str"/>
    </x:row>
    <x:row r="458">
      <x:c r="A458" s="34" t="n">
        <x:v>46329</x:v>
      </x:c>
      <x:c r="B458" s="40" t="str">
        <x:v>Inteligência Emocional</x:v>
      </x:c>
      <x:c r="C458" s="40" t="str">
        <x:v>18 - ELO 18: A Baixa Tolerância à Frustração</x:v>
      </x:c>
      <x:c r="D458" s="40" t="str">
        <x:v>Pdf</x:v>
      </x:c>
      <x:c r="E458" s="40" t="str">
        <x:v>Não iniciado</x:v>
      </x:c>
      <x:c r="F458" s="41" t="str"/>
      <x:c r="G458" s="42" t="str"/>
      <x:c r="H458" s="40" t="str">
        <x:v>Normal</x:v>
      </x:c>
      <x:c r="I458" s="40" t="str">
        <x:f>IF(E458="Concluído","Concluído",IF(A458&lt;TODAY(),"Atrasado",IF(A458=TODAY(),"Hoje","Futuro")))</x:f>
        <x:v>Futuro</x:v>
      </x:c>
      <x:c r="J458" s="43" t="n">
        <x:f>IF(OR(E458="Concluído",A458&gt;=TODAY()),0,TODAY()-A458)</x:f>
        <x:v>0</x:v>
      </x:c>
      <x:c r="K458" s="40" t="str"/>
    </x:row>
    <x:row r="459">
      <x:c r="A459" s="34" t="n">
        <x:v>46330</x:v>
      </x:c>
      <x:c r="B459" s="40" t="str">
        <x:v>Inteligência Emocional</x:v>
      </x:c>
      <x:c r="C459" s="40" t="str">
        <x:v>18 - ELO 18: A Baixa Tolerância à Frustração</x:v>
      </x:c>
      <x:c r="D459" s="40" t="str">
        <x:v>Pdf</x:v>
      </x:c>
      <x:c r="E459" s="40" t="str">
        <x:v>Não iniciado</x:v>
      </x:c>
      <x:c r="F459" s="41" t="str"/>
      <x:c r="G459" s="42" t="str"/>
      <x:c r="H459" s="40" t="str">
        <x:v>Normal</x:v>
      </x:c>
      <x:c r="I459" s="40" t="str">
        <x:f>IF(E459="Concluído","Concluído",IF(A459&lt;TODAY(),"Atrasado",IF(A459=TODAY(),"Hoje","Futuro")))</x:f>
        <x:v>Futuro</x:v>
      </x:c>
      <x:c r="J459" s="43" t="n">
        <x:f>IF(OR(E459="Concluído",A459&gt;=TODAY()),0,TODAY()-A459)</x:f>
        <x:v>0</x:v>
      </x:c>
      <x:c r="K459" s="40" t="str"/>
    </x:row>
    <x:row r="460">
      <x:c r="A460" s="34" t="n">
        <x:v>46330</x:v>
      </x:c>
      <x:c r="B460" s="40" t="str">
        <x:v>Língua Portuguesa</x:v>
      </x:c>
      <x:c r="C460" s="40" t="str">
        <x:v>7 - Classes de Palavras VII</x:v>
      </x:c>
      <x:c r="D460" s="40" t="str">
        <x:v>Videoaula</x:v>
      </x:c>
      <x:c r="E460" s="40" t="str">
        <x:v>Não iniciado</x:v>
      </x:c>
      <x:c r="F460" s="41" t="str"/>
      <x:c r="G460" s="42" t="str"/>
      <x:c r="H460" s="40" t="str">
        <x:v>Normal</x:v>
      </x:c>
      <x:c r="I460" s="40" t="str">
        <x:f>IF(E460="Concluído","Concluído",IF(A460&lt;TODAY(),"Atrasado",IF(A460=TODAY(),"Hoje","Futuro")))</x:f>
        <x:v>Futuro</x:v>
      </x:c>
      <x:c r="J460" s="43" t="n">
        <x:f>IF(OR(E460="Concluído",A460&gt;=TODAY()),0,TODAY()-A460)</x:f>
        <x:v>0</x:v>
      </x:c>
      <x:c r="K460" s="40" t="str"/>
    </x:row>
    <x:row r="461">
      <x:c r="A461" s="34" t="n">
        <x:v>46330</x:v>
      </x:c>
      <x:c r="B461" s="40" t="str">
        <x:v>Língua Portuguesa</x:v>
      </x:c>
      <x:c r="C461" s="40" t="str">
        <x:v>8 - Classes de Palavras VIII</x:v>
      </x:c>
      <x:c r="D461" s="40" t="str">
        <x:v>Videoaula</x:v>
      </x:c>
      <x:c r="E461" s="40" t="str">
        <x:v>Não iniciado</x:v>
      </x:c>
      <x:c r="F461" s="41" t="str"/>
      <x:c r="G461" s="42" t="str"/>
      <x:c r="H461" s="40" t="str">
        <x:v>Normal</x:v>
      </x:c>
      <x:c r="I461" s="40" t="str">
        <x:f>IF(E461="Concluído","Concluído",IF(A461&lt;TODAY(),"Atrasado",IF(A461=TODAY(),"Hoje","Futuro")))</x:f>
        <x:v>Futuro</x:v>
      </x:c>
      <x:c r="J461" s="43" t="n">
        <x:f>IF(OR(E461="Concluído",A461&gt;=TODAY()),0,TODAY()-A461)</x:f>
        <x:v>0</x:v>
      </x:c>
      <x:c r="K461" s="40" t="str"/>
    </x:row>
    <x:row r="462">
      <x:c r="A462" s="34" t="n">
        <x:v>46330</x:v>
      </x:c>
      <x:c r="B462" s="40" t="str">
        <x:v>Língua Inglesa</x:v>
      </x:c>
      <x:c r="C462" s="40" t="str">
        <x:v>36 - Politics Of The Police</x:v>
      </x:c>
      <x:c r="D462" s="40" t="str">
        <x:v>Videoaula</x:v>
      </x:c>
      <x:c r="E462" s="40" t="str">
        <x:v>Não iniciado</x:v>
      </x:c>
      <x:c r="F462" s="41" t="str"/>
      <x:c r="G462" s="42" t="str"/>
      <x:c r="H462" s="40" t="str">
        <x:v>Normal</x:v>
      </x:c>
      <x:c r="I462" s="40" t="str">
        <x:f>IF(E462="Concluído","Concluído",IF(A462&lt;TODAY(),"Atrasado",IF(A462=TODAY(),"Hoje","Futuro")))</x:f>
        <x:v>Futuro</x:v>
      </x:c>
      <x:c r="J462" s="43" t="n">
        <x:f>IF(OR(E462="Concluído",A462&gt;=TODAY()),0,TODAY()-A462)</x:f>
        <x:v>0</x:v>
      </x:c>
      <x:c r="K462" s="40" t="str"/>
    </x:row>
    <x:row r="463">
      <x:c r="A463" s="34" t="n">
        <x:v>46331</x:v>
      </x:c>
      <x:c r="B463" s="40" t="str">
        <x:v>Língua Inglesa</x:v>
      </x:c>
      <x:c r="C463" s="40" t="str">
        <x:v>36 - Politics Of The Police</x:v>
      </x:c>
      <x:c r="D463" s="40" t="str">
        <x:v>Videoaula</x:v>
      </x:c>
      <x:c r="E463" s="40" t="str">
        <x:v>Não iniciado</x:v>
      </x:c>
      <x:c r="F463" s="41" t="str"/>
      <x:c r="G463" s="42" t="str"/>
      <x:c r="H463" s="40" t="str">
        <x:v>Normal</x:v>
      </x:c>
      <x:c r="I463" s="40" t="str">
        <x:f>IF(E463="Concluído","Concluído",IF(A463&lt;TODAY(),"Atrasado",IF(A463=TODAY(),"Hoje","Futuro")))</x:f>
        <x:v>Futuro</x:v>
      </x:c>
      <x:c r="J463" s="43" t="n">
        <x:f>IF(OR(E463="Concluído",A463&gt;=TODAY()),0,TODAY()-A463)</x:f>
        <x:v>0</x:v>
      </x:c>
      <x:c r="K463" s="40" t="str"/>
    </x:row>
    <x:row r="464">
      <x:c r="A464" s="34" t="n">
        <x:v>46331</x:v>
      </x:c>
      <x:c r="B464" s="40" t="str">
        <x:v>Língua Inglesa</x:v>
      </x:c>
      <x:c r="C464" s="40" t="str">
        <x:v>37 - Tackling Corruption For Growth</x:v>
      </x:c>
      <x:c r="D464" s="40" t="str">
        <x:v>Videoaula</x:v>
      </x:c>
      <x:c r="E464" s="40" t="str">
        <x:v>Não iniciado</x:v>
      </x:c>
      <x:c r="F464" s="41" t="str"/>
      <x:c r="G464" s="42" t="str"/>
      <x:c r="H464" s="40" t="str">
        <x:v>Normal</x:v>
      </x:c>
      <x:c r="I464" s="40" t="str">
        <x:f>IF(E464="Concluído","Concluído",IF(A464&lt;TODAY(),"Atrasado",IF(A464=TODAY(),"Hoje","Futuro")))</x:f>
        <x:v>Futuro</x:v>
      </x:c>
      <x:c r="J464" s="43" t="n">
        <x:f>IF(OR(E464="Concluído",A464&gt;=TODAY()),0,TODAY()-A464)</x:f>
        <x:v>0</x:v>
      </x:c>
      <x:c r="K464" s="40" t="str"/>
    </x:row>
    <x:row r="465">
      <x:c r="A465" s="34" t="n">
        <x:v>46331</x:v>
      </x:c>
      <x:c r="B465" s="40" t="str">
        <x:v>Atualidades e Inteligência Artificial</x:v>
      </x:c>
      <x:c r="C465" s="40" t="str">
        <x:v>5 - Introdução</x:v>
      </x:c>
      <x:c r="D465" s="40" t="str">
        <x:v>Videoaula</x:v>
      </x:c>
      <x:c r="E465" s="40" t="str">
        <x:v>Não iniciado</x:v>
      </x:c>
      <x:c r="F465" s="41" t="str"/>
      <x:c r="G465" s="42" t="str"/>
      <x:c r="H465" s="40" t="str">
        <x:v>Normal</x:v>
      </x:c>
      <x:c r="I465" s="40" t="str">
        <x:f>IF(E465="Concluído","Concluído",IF(A465&lt;TODAY(),"Atrasado",IF(A465=TODAY(),"Hoje","Futuro")))</x:f>
        <x:v>Futuro</x:v>
      </x:c>
      <x:c r="J465" s="43" t="n">
        <x:f>IF(OR(E465="Concluído",A465&gt;=TODAY()),0,TODAY()-A465)</x:f>
        <x:v>0</x:v>
      </x:c>
      <x:c r="K465" s="40" t="str"/>
    </x:row>
    <x:row r="466">
      <x:c r="A466" s="34" t="n">
        <x:v>46331</x:v>
      </x:c>
      <x:c r="B466" s="40" t="str">
        <x:v>Atualidades e Inteligência Artificial</x:v>
      </x:c>
      <x:c r="C466" s="40" t="str">
        <x:v>6 - Introdução II</x:v>
      </x:c>
      <x:c r="D466" s="40" t="str">
        <x:v>Videoaula</x:v>
      </x:c>
      <x:c r="E466" s="40" t="str">
        <x:v>Não iniciado</x:v>
      </x:c>
      <x:c r="F466" s="41" t="str"/>
      <x:c r="G466" s="42" t="str"/>
      <x:c r="H466" s="40" t="str">
        <x:v>Normal</x:v>
      </x:c>
      <x:c r="I466" s="40" t="str">
        <x:f>IF(E466="Concluído","Concluído",IF(A466&lt;TODAY(),"Atrasado",IF(A466=TODAY(),"Hoje","Futuro")))</x:f>
        <x:v>Futuro</x:v>
      </x:c>
      <x:c r="J466" s="43" t="n">
        <x:f>IF(OR(E466="Concluído",A466&gt;=TODAY()),0,TODAY()-A466)</x:f>
        <x:v>0</x:v>
      </x:c>
      <x:c r="K466" s="40" t="str"/>
    </x:row>
    <x:row r="467">
      <x:c r="A467" s="34" t="n">
        <x:v>46332</x:v>
      </x:c>
      <x:c r="B467" s="40" t="str">
        <x:v>Atualidades e Inteligência Artificial</x:v>
      </x:c>
      <x:c r="C467" s="40" t="str">
        <x:v>6 - Introdução II</x:v>
      </x:c>
      <x:c r="D467" s="40" t="str">
        <x:v>Videoaula</x:v>
      </x:c>
      <x:c r="E467" s="40" t="str">
        <x:v>Não iniciado</x:v>
      </x:c>
      <x:c r="F467" s="41" t="str"/>
      <x:c r="G467" s="42" t="str"/>
      <x:c r="H467" s="40" t="str">
        <x:v>Normal</x:v>
      </x:c>
      <x:c r="I467" s="40" t="str">
        <x:f>IF(E467="Concluído","Concluído",IF(A467&lt;TODAY(),"Atrasado",IF(A467=TODAY(),"Hoje","Futuro")))</x:f>
        <x:v>Futuro</x:v>
      </x:c>
      <x:c r="J467" s="43" t="n">
        <x:f>IF(OR(E467="Concluído",A467&gt;=TODAY()),0,TODAY()-A467)</x:f>
        <x:v>0</x:v>
      </x:c>
      <x:c r="K467" s="40" t="str"/>
    </x:row>
    <x:row r="468">
      <x:c r="A468" s="34" t="n">
        <x:v>46332</x:v>
      </x:c>
      <x:c r="B468" s="40" t="str">
        <x:v>Legislação Acerca de Segurança da Informação e Proteção de Dados</x:v>
      </x:c>
      <x:c r="C468" s="40" t="str">
        <x:v>15 - Lei nº 13.709/2018 - Lei Geral de Proteção de Dados Pessoais - LGPD XV</x:v>
      </x:c>
      <x:c r="D468" s="40" t="str">
        <x:v>Videoaula</x:v>
      </x:c>
      <x:c r="E468" s="40" t="str">
        <x:v>Não iniciado</x:v>
      </x:c>
      <x:c r="F468" s="41" t="str"/>
      <x:c r="G468" s="42" t="str"/>
      <x:c r="H468" s="40" t="str">
        <x:v>Normal</x:v>
      </x:c>
      <x:c r="I468" s="40" t="str">
        <x:f>IF(E468="Concluído","Concluído",IF(A468&lt;TODAY(),"Atrasado",IF(A468=TODAY(),"Hoje","Futuro")))</x:f>
        <x:v>Futuro</x:v>
      </x:c>
      <x:c r="J468" s="43" t="n">
        <x:f>IF(OR(E468="Concluído",A468&gt;=TODAY()),0,TODAY()-A468)</x:f>
        <x:v>0</x:v>
      </x:c>
      <x:c r="K468" s="40" t="str"/>
    </x:row>
    <x:row r="469">
      <x:c r="A469" s="34" t="n">
        <x:v>46332</x:v>
      </x:c>
      <x:c r="B469" s="40" t="str">
        <x:v>Legislação Acerca de Segurança da Informação e Proteção de Dados</x:v>
      </x:c>
      <x:c r="C469" s="40" t="str">
        <x:v>16 - Lei nº 13.709/2018 - Lei Geral de Proteção de Dados Pessoais - LGPD XVI</x:v>
      </x:c>
      <x:c r="D469" s="40" t="str">
        <x:v>Videoaula</x:v>
      </x:c>
      <x:c r="E469" s="40" t="str">
        <x:v>Não iniciado</x:v>
      </x:c>
      <x:c r="F469" s="41" t="str"/>
      <x:c r="G469" s="42" t="str"/>
      <x:c r="H469" s="40" t="str">
        <x:v>Normal</x:v>
      </x:c>
      <x:c r="I469" s="40" t="str">
        <x:f>IF(E469="Concluído","Concluído",IF(A469&lt;TODAY(),"Atrasado",IF(A469=TODAY(),"Hoje","Futuro")))</x:f>
        <x:v>Futuro</x:v>
      </x:c>
      <x:c r="J469" s="43" t="n">
        <x:f>IF(OR(E469="Concluído",A469&gt;=TODAY()),0,TODAY()-A469)</x:f>
        <x:v>0</x:v>
      </x:c>
      <x:c r="K469" s="40" t="str"/>
    </x:row>
    <x:row r="470">
      <x:c r="A470" s="34" t="n">
        <x:v>46332</x:v>
      </x:c>
      <x:c r="B470" s="40" t="str">
        <x:v>Gestão e Governança de Tecnologia da Informação</x:v>
      </x:c>
      <x:c r="C470" s="40" t="str">
        <x:v>4 - Gestão de Projetos - PMBOK 7ª Edição IV</x:v>
      </x:c>
      <x:c r="D470" s="40" t="str">
        <x:v>Videoaula</x:v>
      </x:c>
      <x:c r="E470" s="40" t="str">
        <x:v>Não iniciado</x:v>
      </x:c>
      <x:c r="F470" s="41" t="str"/>
      <x:c r="G470" s="42" t="str"/>
      <x:c r="H470" s="40" t="str">
        <x:v>Normal</x:v>
      </x:c>
      <x:c r="I470" s="40" t="str">
        <x:f>IF(E470="Concluído","Concluído",IF(A470&lt;TODAY(),"Atrasado",IF(A470=TODAY(),"Hoje","Futuro")))</x:f>
        <x:v>Futuro</x:v>
      </x:c>
      <x:c r="J470" s="43" t="n">
        <x:f>IF(OR(E470="Concluído",A470&gt;=TODAY()),0,TODAY()-A470)</x:f>
        <x:v>0</x:v>
      </x:c>
      <x:c r="K470" s="40" t="str"/>
    </x:row>
    <x:row r="471">
      <x:c r="A471" s="34" t="n">
        <x:v>46332</x:v>
      </x:c>
      <x:c r="B471" s="40" t="str">
        <x:v>Gestão e Governança de Tecnologia da Informação</x:v>
      </x:c>
      <x:c r="C471" s="40" t="str">
        <x:v>5 - Gestão de Projetos - PMBOK 7ª Edição - Escritório de Planejamento de Processos</x:v>
      </x:c>
      <x:c r="D471" s="40" t="str">
        <x:v>Videoaula</x:v>
      </x:c>
      <x:c r="E471" s="40" t="str">
        <x:v>Não iniciado</x:v>
      </x:c>
      <x:c r="F471" s="41" t="str"/>
      <x:c r="G471" s="42" t="str"/>
      <x:c r="H471" s="40" t="str">
        <x:v>Normal</x:v>
      </x:c>
      <x:c r="I471" s="40" t="str">
        <x:f>IF(E471="Concluído","Concluído",IF(A471&lt;TODAY(),"Atrasado",IF(A471=TODAY(),"Hoje","Futuro")))</x:f>
        <x:v>Futuro</x:v>
      </x:c>
      <x:c r="J471" s="43" t="n">
        <x:f>IF(OR(E471="Concluído",A471&gt;=TODAY()),0,TODAY()-A471)</x:f>
        <x:v>0</x:v>
      </x:c>
      <x:c r="K471" s="40" t="str"/>
    </x:row>
    <x:row r="472">
      <x:c r="A472" s="34" t="n">
        <x:v>46333</x:v>
      </x:c>
      <x:c r="B472" s="40" t="str">
        <x:v>Gestão e Governança de Tecnologia da Informação</x:v>
      </x:c>
      <x:c r="C472" s="40" t="str">
        <x:v>5 - Gestão de Projetos - PMBOK 7ª Edição - Escritório de Planejamento de Processos</x:v>
      </x:c>
      <x:c r="D472" s="40" t="str">
        <x:v>Videoaula</x:v>
      </x:c>
      <x:c r="E472" s="40" t="str">
        <x:v>Não iniciado</x:v>
      </x:c>
      <x:c r="F472" s="41" t="str"/>
      <x:c r="G472" s="42" t="str"/>
      <x:c r="H472" s="40" t="str">
        <x:v>Normal</x:v>
      </x:c>
      <x:c r="I472" s="40" t="str">
        <x:f>IF(E472="Concluído","Concluído",IF(A472&lt;TODAY(),"Atrasado",IF(A472=TODAY(),"Hoje","Futuro")))</x:f>
        <x:v>Futuro</x:v>
      </x:c>
      <x:c r="J472" s="43" t="n">
        <x:f>IF(OR(E472="Concluído",A472&gt;=TODAY()),0,TODAY()-A472)</x:f>
        <x:v>0</x:v>
      </x:c>
      <x:c r="K472" s="40" t="str"/>
    </x:row>
    <x:row r="473">
      <x:c r="A473" s="34" t="n">
        <x:v>46333</x:v>
      </x:c>
      <x:c r="B473" s="40" t="str">
        <x:v>Banco de Dados</x:v>
      </x:c>
      <x:c r="C473" s="40" t="str">
        <x:v>22 - Banco de Dados - Linguagem SQL - VIII</x:v>
      </x:c>
      <x:c r="D473" s="40" t="str">
        <x:v>Videoaula</x:v>
      </x:c>
      <x:c r="E473" s="40" t="str">
        <x:v>Não iniciado</x:v>
      </x:c>
      <x:c r="F473" s="41" t="str"/>
      <x:c r="G473" s="42" t="str"/>
      <x:c r="H473" s="40" t="str">
        <x:v>Normal</x:v>
      </x:c>
      <x:c r="I473" s="40" t="str">
        <x:f>IF(E473="Concluído","Concluído",IF(A473&lt;TODAY(),"Atrasado",IF(A473=TODAY(),"Hoje","Futuro")))</x:f>
        <x:v>Futuro</x:v>
      </x:c>
      <x:c r="J473" s="43" t="n">
        <x:f>IF(OR(E473="Concluído",A473&gt;=TODAY()),0,TODAY()-A473)</x:f>
        <x:v>0</x:v>
      </x:c>
      <x:c r="K473" s="40" t="str"/>
    </x:row>
    <x:row r="474">
      <x:c r="A474" s="34" t="n">
        <x:v>46333</x:v>
      </x:c>
      <x:c r="B474" s="40" t="str">
        <x:v>Banco de Dados</x:v>
      </x:c>
      <x:c r="C474" s="40" t="str">
        <x:v>23 - Inteligência artificial</x:v>
      </x:c>
      <x:c r="D474" s="40" t="str">
        <x:v>Videoaula</x:v>
      </x:c>
      <x:c r="E474" s="40" t="str">
        <x:v>Não iniciado</x:v>
      </x:c>
      <x:c r="F474" s="41" t="str"/>
      <x:c r="G474" s="42" t="str"/>
      <x:c r="H474" s="40" t="str">
        <x:v>Normal</x:v>
      </x:c>
      <x:c r="I474" s="40" t="str">
        <x:f>IF(E474="Concluído","Concluído",IF(A474&lt;TODAY(),"Atrasado",IF(A474=TODAY(),"Hoje","Futuro")))</x:f>
        <x:v>Futuro</x:v>
      </x:c>
      <x:c r="J474" s="43" t="n">
        <x:f>IF(OR(E474="Concluído",A474&gt;=TODAY()),0,TODAY()-A474)</x:f>
        <x:v>0</x:v>
      </x:c>
      <x:c r="K474" s="40" t="str"/>
    </x:row>
    <x:row r="475">
      <x:c r="A475" s="34" t="n">
        <x:v>46333</x:v>
      </x:c>
      <x:c r="B475" s="40" t="str">
        <x:v>Língua Portuguesa</x:v>
      </x:c>
      <x:c r="C475" s="40" t="str">
        <x:v>8 - Emprego das Classes de Palavras</x:v>
      </x:c>
      <x:c r="D475" s="40" t="str">
        <x:v>Pdf</x:v>
      </x:c>
      <x:c r="E475" s="40" t="str">
        <x:v>Não iniciado</x:v>
      </x:c>
      <x:c r="F475" s="41" t="str"/>
      <x:c r="G475" s="42" t="str"/>
      <x:c r="H475" s="40" t="str">
        <x:v>Normal</x:v>
      </x:c>
      <x:c r="I475" s="40" t="str">
        <x:f>IF(E475="Concluído","Concluído",IF(A475&lt;TODAY(),"Atrasado",IF(A475=TODAY(),"Hoje","Futuro")))</x:f>
        <x:v>Futuro</x:v>
      </x:c>
      <x:c r="J475" s="43" t="n">
        <x:f>IF(OR(E475="Concluído",A475&gt;=TODAY()),0,TODAY()-A475)</x:f>
        <x:v>0</x:v>
      </x:c>
      <x:c r="K475" s="40" t="str"/>
    </x:row>
    <x:row r="476">
      <x:c r="A476" s="34" t="n">
        <x:v>46334</x:v>
      </x:c>
      <x:c r="B476" s="40" t="str">
        <x:v>Língua Portuguesa</x:v>
      </x:c>
      <x:c r="C476" s="40" t="str">
        <x:v>8 - Emprego das Classes de Palavras</x:v>
      </x:c>
      <x:c r="D476" s="40" t="str">
        <x:v>Pdf</x:v>
      </x:c>
      <x:c r="E476" s="40" t="str">
        <x:v>Não iniciado</x:v>
      </x:c>
      <x:c r="F476" s="41" t="str"/>
      <x:c r="G476" s="42" t="str"/>
      <x:c r="H476" s="40" t="str">
        <x:v>Normal</x:v>
      </x:c>
      <x:c r="I476" s="40" t="str">
        <x:f>IF(E476="Concluído","Concluído",IF(A476&lt;TODAY(),"Atrasado",IF(A476=TODAY(),"Hoje","Futuro")))</x:f>
        <x:v>Futuro</x:v>
      </x:c>
      <x:c r="J476" s="43" t="n">
        <x:f>IF(OR(E476="Concluído",A476&gt;=TODAY()),0,TODAY()-A476)</x:f>
        <x:v>0</x:v>
      </x:c>
      <x:c r="K476" s="40" t="str"/>
    </x:row>
    <x:row r="477">
      <x:c r="A477" s="34" t="n">
        <x:v>46334</x:v>
      </x:c>
      <x:c r="B477" s="40" t="str">
        <x:v>Inteligência Emocional</x:v>
      </x:c>
      <x:c r="C477" s="40" t="str">
        <x:v>19 - ELO 19: Como a Impulsividade Pode te Atrapalhar nos Estudos</x:v>
      </x:c>
      <x:c r="D477" s="40" t="str">
        <x:v>Pdf</x:v>
      </x:c>
      <x:c r="E477" s="40" t="str">
        <x:v>Não iniciado</x:v>
      </x:c>
      <x:c r="F477" s="41" t="str"/>
      <x:c r="G477" s="42" t="str"/>
      <x:c r="H477" s="40" t="str">
        <x:v>Normal</x:v>
      </x:c>
      <x:c r="I477" s="40" t="str">
        <x:f>IF(E477="Concluído","Concluído",IF(A477&lt;TODAY(),"Atrasado",IF(A477=TODAY(),"Hoje","Futuro")))</x:f>
        <x:v>Futuro</x:v>
      </x:c>
      <x:c r="J477" s="43" t="n">
        <x:f>IF(OR(E477="Concluído",A477&gt;=TODAY()),0,TODAY()-A477)</x:f>
        <x:v>0</x:v>
      </x:c>
      <x:c r="K477" s="40" t="str"/>
    </x:row>
    <x:row r="478">
      <x:c r="A478" s="34" t="n">
        <x:v>46334</x:v>
      </x:c>
      <x:c r="B478" s="40" t="str">
        <x:v>Língua Portuguesa</x:v>
      </x:c>
      <x:c r="C478" s="40" t="str">
        <x:v>9 - Classes de Palavras IX</x:v>
      </x:c>
      <x:c r="D478" s="40" t="str">
        <x:v>Videoaula</x:v>
      </x:c>
      <x:c r="E478" s="40" t="str">
        <x:v>Não iniciado</x:v>
      </x:c>
      <x:c r="F478" s="41" t="str"/>
      <x:c r="G478" s="42" t="str"/>
      <x:c r="H478" s="40" t="str">
        <x:v>Normal</x:v>
      </x:c>
      <x:c r="I478" s="40" t="str">
        <x:f>IF(E478="Concluído","Concluído",IF(A478&lt;TODAY(),"Atrasado",IF(A478=TODAY(),"Hoje","Futuro")))</x:f>
        <x:v>Futuro</x:v>
      </x:c>
      <x:c r="J478" s="43" t="n">
        <x:f>IF(OR(E478="Concluído",A478&gt;=TODAY()),0,TODAY()-A478)</x:f>
        <x:v>0</x:v>
      </x:c>
      <x:c r="K478" s="40" t="str"/>
    </x:row>
    <x:row r="479">
      <x:c r="A479" s="34" t="n">
        <x:v>46334</x:v>
      </x:c>
      <x:c r="B479" s="40" t="str">
        <x:v>Língua Portuguesa</x:v>
      </x:c>
      <x:c r="C479" s="40" t="str">
        <x:v>10 - Classes de Palavras X</x:v>
      </x:c>
      <x:c r="D479" s="40" t="str">
        <x:v>Videoaula</x:v>
      </x:c>
      <x:c r="E479" s="40" t="str">
        <x:v>Não iniciado</x:v>
      </x:c>
      <x:c r="F479" s="41" t="str"/>
      <x:c r="G479" s="42" t="str"/>
      <x:c r="H479" s="40" t="str">
        <x:v>Normal</x:v>
      </x:c>
      <x:c r="I479" s="40" t="str">
        <x:f>IF(E479="Concluído","Concluído",IF(A479&lt;TODAY(),"Atrasado",IF(A479=TODAY(),"Hoje","Futuro")))</x:f>
        <x:v>Futuro</x:v>
      </x:c>
      <x:c r="J479" s="43" t="n">
        <x:f>IF(OR(E479="Concluído",A479&gt;=TODAY()),0,TODAY()-A479)</x:f>
        <x:v>0</x:v>
      </x:c>
      <x:c r="K479" s="40" t="str"/>
    </x:row>
    <x:row r="480">
      <x:c r="A480" s="34" t="n">
        <x:v>46334</x:v>
      </x:c>
      <x:c r="B480" s="40" t="str">
        <x:v>Revisão</x:v>
      </x:c>
      <x:c r="C480" s="40" t="str">
        <x:v>Revisão</x:v>
      </x:c>
      <x:c r="D480" s="40" t="str">
        <x:v>Revisao</x:v>
      </x:c>
      <x:c r="E480" s="40" t="str">
        <x:v>Não iniciado</x:v>
      </x:c>
      <x:c r="F480" s="41" t="str"/>
      <x:c r="G480" s="42" t="str"/>
      <x:c r="H480" s="40" t="str">
        <x:v>Normal</x:v>
      </x:c>
      <x:c r="I480" s="40" t="str">
        <x:f>IF(E480="Concluído","Concluído",IF(A480&lt;TODAY(),"Atrasado",IF(A480=TODAY(),"Hoje","Futuro")))</x:f>
        <x:v>Futuro</x:v>
      </x:c>
      <x:c r="J480" s="43" t="n">
        <x:f>IF(OR(E480="Concluído",A480&gt;=TODAY()),0,TODAY()-A480)</x:f>
        <x:v>0</x:v>
      </x:c>
      <x:c r="K480" s="40" t="str"/>
    </x:row>
    <x:row r="481">
      <x:c r="A481" s="34" t="n">
        <x:v>46335</x:v>
      </x:c>
      <x:c r="B481" s="40" t="str">
        <x:v>Língua Portuguesa</x:v>
      </x:c>
      <x:c r="C481" s="40" t="str">
        <x:v>10 - Classes de Palavras X</x:v>
      </x:c>
      <x:c r="D481" s="40" t="str">
        <x:v>Videoaula</x:v>
      </x:c>
      <x:c r="E481" s="40" t="str">
        <x:v>Não iniciado</x:v>
      </x:c>
      <x:c r="F481" s="41" t="str"/>
      <x:c r="G481" s="42" t="str"/>
      <x:c r="H481" s="40" t="str">
        <x:v>Normal</x:v>
      </x:c>
      <x:c r="I481" s="40" t="str">
        <x:f>IF(E481="Concluído","Concluído",IF(A481&lt;TODAY(),"Atrasado",IF(A481=TODAY(),"Hoje","Futuro")))</x:f>
        <x:v>Futuro</x:v>
      </x:c>
      <x:c r="J481" s="43" t="n">
        <x:f>IF(OR(E481="Concluído",A481&gt;=TODAY()),0,TODAY()-A481)</x:f>
        <x:v>0</x:v>
      </x:c>
      <x:c r="K481" s="40" t="str"/>
    </x:row>
    <x:row r="482">
      <x:c r="A482" s="34" t="n">
        <x:v>46335</x:v>
      </x:c>
      <x:c r="B482" s="40" t="str">
        <x:v>Língua Inglesa</x:v>
      </x:c>
      <x:c r="C482" s="40" t="str">
        <x:v>38 - The Tech Product Network</x:v>
      </x:c>
      <x:c r="D482" s="40" t="str">
        <x:v>Videoaula</x:v>
      </x:c>
      <x:c r="E482" s="40" t="str">
        <x:v>Não iniciado</x:v>
      </x:c>
      <x:c r="F482" s="41" t="str"/>
      <x:c r="G482" s="42" t="str"/>
      <x:c r="H482" s="40" t="str">
        <x:v>Normal</x:v>
      </x:c>
      <x:c r="I482" s="40" t="str">
        <x:f>IF(E482="Concluído","Concluído",IF(A482&lt;TODAY(),"Atrasado",IF(A482=TODAY(),"Hoje","Futuro")))</x:f>
        <x:v>Futuro</x:v>
      </x:c>
      <x:c r="J482" s="43" t="n">
        <x:f>IF(OR(E482="Concluído",A482&gt;=TODAY()),0,TODAY()-A482)</x:f>
        <x:v>0</x:v>
      </x:c>
      <x:c r="K482" s="40" t="str"/>
    </x:row>
    <x:row r="483">
      <x:c r="A483" s="34" t="n">
        <x:v>46335</x:v>
      </x:c>
      <x:c r="B483" s="40" t="str">
        <x:v>Língua Inglesa</x:v>
      </x:c>
      <x:c r="C483" s="40" t="str">
        <x:v>39 - The Use Of Music And Songs In The Efl Classroom</x:v>
      </x:c>
      <x:c r="D483" s="40" t="str">
        <x:v>Videoaula</x:v>
      </x:c>
      <x:c r="E483" s="40" t="str">
        <x:v>Não iniciado</x:v>
      </x:c>
      <x:c r="F483" s="41" t="str"/>
      <x:c r="G483" s="42" t="str"/>
      <x:c r="H483" s="40" t="str">
        <x:v>Normal</x:v>
      </x:c>
      <x:c r="I483" s="40" t="str">
        <x:f>IF(E483="Concluído","Concluído",IF(A483&lt;TODAY(),"Atrasado",IF(A483=TODAY(),"Hoje","Futuro")))</x:f>
        <x:v>Futuro</x:v>
      </x:c>
      <x:c r="J483" s="43" t="n">
        <x:f>IF(OR(E483="Concluído",A483&gt;=TODAY()),0,TODAY()-A483)</x:f>
        <x:v>0</x:v>
      </x:c>
      <x:c r="K483" s="40" t="str"/>
    </x:row>
    <x:row r="484">
      <x:c r="A484" s="34" t="n">
        <x:v>46335</x:v>
      </x:c>
      <x:c r="B484" s="40" t="str">
        <x:v>Atualidades e Inteligência Artificial</x:v>
      </x:c>
      <x:c r="C484" s="40" t="str">
        <x:v>7 - Tipos de Aprendizado</x:v>
      </x:c>
      <x:c r="D484" s="40" t="str">
        <x:v>Videoaula</x:v>
      </x:c>
      <x:c r="E484" s="40" t="str">
        <x:v>Não iniciado</x:v>
      </x:c>
      <x:c r="F484" s="41" t="str"/>
      <x:c r="G484" s="42" t="str"/>
      <x:c r="H484" s="40" t="str">
        <x:v>Normal</x:v>
      </x:c>
      <x:c r="I484" s="40" t="str">
        <x:f>IF(E484="Concluído","Concluído",IF(A484&lt;TODAY(),"Atrasado",IF(A484=TODAY(),"Hoje","Futuro")))</x:f>
        <x:v>Futuro</x:v>
      </x:c>
      <x:c r="J484" s="43" t="n">
        <x:f>IF(OR(E484="Concluído",A484&gt;=TODAY()),0,TODAY()-A484)</x:f>
        <x:v>0</x:v>
      </x:c>
      <x:c r="K484" s="40" t="str"/>
    </x:row>
    <x:row r="485">
      <x:c r="A485" s="34" t="n">
        <x:v>46335</x:v>
      </x:c>
      <x:c r="B485" s="40" t="str">
        <x:v>Atualidades e Inteligência Artificial</x:v>
      </x:c>
      <x:c r="C485" s="40" t="str">
        <x:v>8 - Tipos de Aprendizado II</x:v>
      </x:c>
      <x:c r="D485" s="40" t="str">
        <x:v>Videoaula</x:v>
      </x:c>
      <x:c r="E485" s="40" t="str">
        <x:v>Não iniciado</x:v>
      </x:c>
      <x:c r="F485" s="41" t="str"/>
      <x:c r="G485" s="42" t="str"/>
      <x:c r="H485" s="40" t="str">
        <x:v>Normal</x:v>
      </x:c>
      <x:c r="I485" s="40" t="str">
        <x:f>IF(E485="Concluído","Concluído",IF(A485&lt;TODAY(),"Atrasado",IF(A485=TODAY(),"Hoje","Futuro")))</x:f>
        <x:v>Futuro</x:v>
      </x:c>
      <x:c r="J485" s="43" t="n">
        <x:f>IF(OR(E485="Concluído",A485&gt;=TODAY()),0,TODAY()-A485)</x:f>
        <x:v>0</x:v>
      </x:c>
      <x:c r="K485" s="40" t="str"/>
    </x:row>
    <x:row r="486">
      <x:c r="A486" s="34" t="n">
        <x:v>46336</x:v>
      </x:c>
      <x:c r="B486" s="40" t="str">
        <x:v>Atualidades e Inteligência Artificial</x:v>
      </x:c>
      <x:c r="C486" s="40" t="str">
        <x:v>8 - Tipos de Aprendizado II</x:v>
      </x:c>
      <x:c r="D486" s="40" t="str">
        <x:v>Videoaula</x:v>
      </x:c>
      <x:c r="E486" s="40" t="str">
        <x:v>Não iniciado</x:v>
      </x:c>
      <x:c r="F486" s="41" t="str"/>
      <x:c r="G486" s="42" t="str"/>
      <x:c r="H486" s="40" t="str">
        <x:v>Normal</x:v>
      </x:c>
      <x:c r="I486" s="40" t="str">
        <x:f>IF(E486="Concluído","Concluído",IF(A486&lt;TODAY(),"Atrasado",IF(A486=TODAY(),"Hoje","Futuro")))</x:f>
        <x:v>Futuro</x:v>
      </x:c>
      <x:c r="J486" s="43" t="n">
        <x:f>IF(OR(E486="Concluído",A486&gt;=TODAY()),0,TODAY()-A486)</x:f>
        <x:v>0</x:v>
      </x:c>
      <x:c r="K486" s="40" t="str"/>
    </x:row>
    <x:row r="487">
      <x:c r="A487" s="34" t="n">
        <x:v>46336</x:v>
      </x:c>
      <x:c r="B487" s="40" t="str">
        <x:v>Legislação Acerca de Segurança da Informação e Proteção de Dados</x:v>
      </x:c>
      <x:c r="C487" s="40" t="str">
        <x:v>17 - Lei nº 13.709/2018 - Lei Geral de Proteção de Dados Pessoais - LGPD XVII</x:v>
      </x:c>
      <x:c r="D487" s="40" t="str">
        <x:v>Videoaula</x:v>
      </x:c>
      <x:c r="E487" s="40" t="str">
        <x:v>Não iniciado</x:v>
      </x:c>
      <x:c r="F487" s="41" t="str"/>
      <x:c r="G487" s="42" t="str"/>
      <x:c r="H487" s="40" t="str">
        <x:v>Normal</x:v>
      </x:c>
      <x:c r="I487" s="40" t="str">
        <x:f>IF(E487="Concluído","Concluído",IF(A487&lt;TODAY(),"Atrasado",IF(A487=TODAY(),"Hoje","Futuro")))</x:f>
        <x:v>Futuro</x:v>
      </x:c>
      <x:c r="J487" s="43" t="n">
        <x:f>IF(OR(E487="Concluído",A487&gt;=TODAY()),0,TODAY()-A487)</x:f>
        <x:v>0</x:v>
      </x:c>
      <x:c r="K487" s="40" t="str"/>
    </x:row>
    <x:row r="488">
      <x:c r="A488" s="34" t="n">
        <x:v>46336</x:v>
      </x:c>
      <x:c r="B488" s="40" t="str">
        <x:v>Legislação Acerca de Segurança da Informação e Proteção de Dados</x:v>
      </x:c>
      <x:c r="C488" s="40" t="str">
        <x:v>18 - Lei nº 13.709/2018 - Lei Geral de Proteção de Dados Pessoais - LGPD XVIII</x:v>
      </x:c>
      <x:c r="D488" s="40" t="str">
        <x:v>Videoaula</x:v>
      </x:c>
      <x:c r="E488" s="40" t="str">
        <x:v>Não iniciado</x:v>
      </x:c>
      <x:c r="F488" s="41" t="str"/>
      <x:c r="G488" s="42" t="str"/>
      <x:c r="H488" s="40" t="str">
        <x:v>Normal</x:v>
      </x:c>
      <x:c r="I488" s="40" t="str">
        <x:f>IF(E488="Concluído","Concluído",IF(A488&lt;TODAY(),"Atrasado",IF(A488=TODAY(),"Hoje","Futuro")))</x:f>
        <x:v>Futuro</x:v>
      </x:c>
      <x:c r="J488" s="43" t="n">
        <x:f>IF(OR(E488="Concluído",A488&gt;=TODAY()),0,TODAY()-A488)</x:f>
        <x:v>0</x:v>
      </x:c>
      <x:c r="K488" s="40" t="str"/>
    </x:row>
    <x:row r="489">
      <x:c r="A489" s="34" t="n">
        <x:v>46336</x:v>
      </x:c>
      <x:c r="B489" s="40" t="str">
        <x:v>Gestão e Governança de Tecnologia da Informação</x:v>
      </x:c>
      <x:c r="C489" s="40" t="str">
        <x:v>6 - Gestão de Projetos - PMBOK 7ª Edição - Escritório de Planejamento de Processos II</x:v>
      </x:c>
      <x:c r="D489" s="40" t="str">
        <x:v>Videoaula</x:v>
      </x:c>
      <x:c r="E489" s="40" t="str">
        <x:v>Não iniciado</x:v>
      </x:c>
      <x:c r="F489" s="41" t="str"/>
      <x:c r="G489" s="42" t="str"/>
      <x:c r="H489" s="40" t="str">
        <x:v>Normal</x:v>
      </x:c>
      <x:c r="I489" s="40" t="str">
        <x:f>IF(E489="Concluído","Concluído",IF(A489&lt;TODAY(),"Atrasado",IF(A489=TODAY(),"Hoje","Futuro")))</x:f>
        <x:v>Futuro</x:v>
      </x:c>
      <x:c r="J489" s="43" t="n">
        <x:f>IF(OR(E489="Concluído",A489&gt;=TODAY()),0,TODAY()-A489)</x:f>
        <x:v>0</x:v>
      </x:c>
      <x:c r="K489" s="40" t="str"/>
    </x:row>
    <x:row r="490">
      <x:c r="A490" s="34" t="n">
        <x:v>46336</x:v>
      </x:c>
      <x:c r="B490" s="40" t="str">
        <x:v>Gestão e Governança de Tecnologia da Informação</x:v>
      </x:c>
      <x:c r="C490" s="40" t="str">
        <x:v>7 - Gestão de Projetos - PMBOK 7ª Edição - Domínios de Desempenho - Partes Interessadas</x:v>
      </x:c>
      <x:c r="D490" s="40" t="str">
        <x:v>Videoaula</x:v>
      </x:c>
      <x:c r="E490" s="40" t="str">
        <x:v>Não iniciado</x:v>
      </x:c>
      <x:c r="F490" s="41" t="str"/>
      <x:c r="G490" s="42" t="str"/>
      <x:c r="H490" s="40" t="str">
        <x:v>Normal</x:v>
      </x:c>
      <x:c r="I490" s="40" t="str">
        <x:f>IF(E490="Concluído","Concluído",IF(A490&lt;TODAY(),"Atrasado",IF(A490=TODAY(),"Hoje","Futuro")))</x:f>
        <x:v>Futuro</x:v>
      </x:c>
      <x:c r="J490" s="43" t="n">
        <x:f>IF(OR(E490="Concluído",A490&gt;=TODAY()),0,TODAY()-A490)</x:f>
        <x:v>0</x:v>
      </x:c>
      <x:c r="K490" s="40" t="str"/>
    </x:row>
    <x:row r="491">
      <x:c r="A491" s="34" t="n">
        <x:v>46337</x:v>
      </x:c>
      <x:c r="B491" s="40" t="str">
        <x:v>Gestão e Governança de Tecnologia da Informação</x:v>
      </x:c>
      <x:c r="C491" s="40" t="str">
        <x:v>7 - Gestão de Projetos - PMBOK 7ª Edição - Domínios de Desempenho - Partes Interessadas</x:v>
      </x:c>
      <x:c r="D491" s="40" t="str">
        <x:v>Videoaula</x:v>
      </x:c>
      <x:c r="E491" s="40" t="str">
        <x:v>Não iniciado</x:v>
      </x:c>
      <x:c r="F491" s="41" t="str"/>
      <x:c r="G491" s="42" t="str"/>
      <x:c r="H491" s="40" t="str">
        <x:v>Normal</x:v>
      </x:c>
      <x:c r="I491" s="40" t="str">
        <x:f>IF(E491="Concluído","Concluído",IF(A491&lt;TODAY(),"Atrasado",IF(A491=TODAY(),"Hoje","Futuro")))</x:f>
        <x:v>Futuro</x:v>
      </x:c>
      <x:c r="J491" s="43" t="n">
        <x:f>IF(OR(E491="Concluído",A491&gt;=TODAY()),0,TODAY()-A491)</x:f>
        <x:v>0</x:v>
      </x:c>
      <x:c r="K491" s="40" t="str"/>
    </x:row>
    <x:row r="492">
      <x:c r="A492" s="34" t="n">
        <x:v>46337</x:v>
      </x:c>
      <x:c r="B492" s="40" t="str">
        <x:v>Banco de Dados</x:v>
      </x:c>
      <x:c r="C492" s="40" t="str">
        <x:v>24 - Inteligência de dados</x:v>
      </x:c>
      <x:c r="D492" s="40" t="str">
        <x:v>Videoaula</x:v>
      </x:c>
      <x:c r="E492" s="40" t="str">
        <x:v>Não iniciado</x:v>
      </x:c>
      <x:c r="F492" s="41" t="str"/>
      <x:c r="G492" s="42" t="str"/>
      <x:c r="H492" s="40" t="str">
        <x:v>Normal</x:v>
      </x:c>
      <x:c r="I492" s="40" t="str">
        <x:f>IF(E492="Concluído","Concluído",IF(A492&lt;TODAY(),"Atrasado",IF(A492=TODAY(),"Hoje","Futuro")))</x:f>
        <x:v>Futuro</x:v>
      </x:c>
      <x:c r="J492" s="43" t="n">
        <x:f>IF(OR(E492="Concluído",A492&gt;=TODAY()),0,TODAY()-A492)</x:f>
        <x:v>0</x:v>
      </x:c>
      <x:c r="K492" s="40" t="str"/>
    </x:row>
    <x:row r="493">
      <x:c r="A493" s="34" t="n">
        <x:v>46337</x:v>
      </x:c>
      <x:c r="B493" s="40" t="str">
        <x:v>Língua Portuguesa</x:v>
      </x:c>
      <x:c r="C493" s="40" t="str">
        <x:v>1 - A Sintaxe do Período Composto</x:v>
      </x:c>
      <x:c r="D493" s="40" t="str">
        <x:v>Pdf</x:v>
      </x:c>
      <x:c r="E493" s="40" t="str">
        <x:v>Não iniciado</x:v>
      </x:c>
      <x:c r="F493" s="41" t="str"/>
      <x:c r="G493" s="42" t="str"/>
      <x:c r="H493" s="40" t="str">
        <x:v>Normal</x:v>
      </x:c>
      <x:c r="I493" s="40" t="str">
        <x:f>IF(E493="Concluído","Concluído",IF(A493&lt;TODAY(),"Atrasado",IF(A493=TODAY(),"Hoje","Futuro")))</x:f>
        <x:v>Futuro</x:v>
      </x:c>
      <x:c r="J493" s="43" t="n">
        <x:f>IF(OR(E493="Concluído",A493&gt;=TODAY()),0,TODAY()-A493)</x:f>
        <x:v>0</x:v>
      </x:c>
      <x:c r="K493" s="40" t="str"/>
    </x:row>
    <x:row r="494">
      <x:c r="A494" s="34" t="n">
        <x:v>46338</x:v>
      </x:c>
      <x:c r="B494" s="40" t="str">
        <x:v>Língua Portuguesa</x:v>
      </x:c>
      <x:c r="C494" s="40" t="str">
        <x:v>1 - A Sintaxe do Período Composto</x:v>
      </x:c>
      <x:c r="D494" s="40" t="str">
        <x:v>Pdf</x:v>
      </x:c>
      <x:c r="E494" s="40" t="str">
        <x:v>Não iniciado</x:v>
      </x:c>
      <x:c r="F494" s="41" t="str"/>
      <x:c r="G494" s="42" t="str"/>
      <x:c r="H494" s="40" t="str">
        <x:v>Normal</x:v>
      </x:c>
      <x:c r="I494" s="40" t="str">
        <x:f>IF(E494="Concluído","Concluído",IF(A494&lt;TODAY(),"Atrasado",IF(A494=TODAY(),"Hoje","Futuro")))</x:f>
        <x:v>Futuro</x:v>
      </x:c>
      <x:c r="J494" s="43" t="n">
        <x:f>IF(OR(E494="Concluído",A494&gt;=TODAY()),0,TODAY()-A494)</x:f>
        <x:v>0</x:v>
      </x:c>
      <x:c r="K494" s="40" t="str"/>
    </x:row>
    <x:row r="495">
      <x:c r="A495" s="34" t="n">
        <x:v>46339</x:v>
      </x:c>
      <x:c r="B495" s="40" t="str">
        <x:v>Língua Portuguesa</x:v>
      </x:c>
      <x:c r="C495" s="40" t="str">
        <x:v>1 - A Sintaxe do Período Composto</x:v>
      </x:c>
      <x:c r="D495" s="40" t="str">
        <x:v>Pdf</x:v>
      </x:c>
      <x:c r="E495" s="40" t="str">
        <x:v>Não iniciado</x:v>
      </x:c>
      <x:c r="F495" s="41" t="str"/>
      <x:c r="G495" s="42" t="str"/>
      <x:c r="H495" s="40" t="str">
        <x:v>Normal</x:v>
      </x:c>
      <x:c r="I495" s="40" t="str">
        <x:f>IF(E495="Concluído","Concluído",IF(A495&lt;TODAY(),"Atrasado",IF(A495=TODAY(),"Hoje","Futuro")))</x:f>
        <x:v>Futuro</x:v>
      </x:c>
      <x:c r="J495" s="43" t="n">
        <x:f>IF(OR(E495="Concluído",A495&gt;=TODAY()),0,TODAY()-A495)</x:f>
        <x:v>0</x:v>
      </x:c>
      <x:c r="K495" s="40" t="str"/>
    </x:row>
    <x:row r="496">
      <x:c r="A496" s="34" t="n">
        <x:v>46339</x:v>
      </x:c>
      <x:c r="B496" s="40" t="str">
        <x:v>Inteligência Emocional</x:v>
      </x:c>
      <x:c r="C496" s="40" t="str">
        <x:v>20 - ELO 20: As 5 Feridas Emocionais e suas Consequências</x:v>
      </x:c>
      <x:c r="D496" s="40" t="str">
        <x:v>Pdf</x:v>
      </x:c>
      <x:c r="E496" s="40" t="str">
        <x:v>Não iniciado</x:v>
      </x:c>
      <x:c r="F496" s="41" t="str"/>
      <x:c r="G496" s="42" t="str"/>
      <x:c r="H496" s="40" t="str">
        <x:v>Normal</x:v>
      </x:c>
      <x:c r="I496" s="40" t="str">
        <x:f>IF(E496="Concluído","Concluído",IF(A496&lt;TODAY(),"Atrasado",IF(A496=TODAY(),"Hoje","Futuro")))</x:f>
        <x:v>Futuro</x:v>
      </x:c>
      <x:c r="J496" s="43" t="n">
        <x:f>IF(OR(E496="Concluído",A496&gt;=TODAY()),0,TODAY()-A496)</x:f>
        <x:v>0</x:v>
      </x:c>
      <x:c r="K496" s="40" t="str"/>
    </x:row>
    <x:row r="497">
      <x:c r="A497" s="34" t="n">
        <x:v>46339</x:v>
      </x:c>
      <x:c r="B497" s="40" t="str">
        <x:v>Língua Portuguesa</x:v>
      </x:c>
      <x:c r="C497" s="40" t="str">
        <x:v>1 - Morfossintaxe</x:v>
      </x:c>
      <x:c r="D497" s="40" t="str">
        <x:v>Videoaula</x:v>
      </x:c>
      <x:c r="E497" s="40" t="str">
        <x:v>Não iniciado</x:v>
      </x:c>
      <x:c r="F497" s="41" t="str"/>
      <x:c r="G497" s="42" t="str"/>
      <x:c r="H497" s="40" t="str">
        <x:v>Normal</x:v>
      </x:c>
      <x:c r="I497" s="40" t="str">
        <x:f>IF(E497="Concluído","Concluído",IF(A497&lt;TODAY(),"Atrasado",IF(A497=TODAY(),"Hoje","Futuro")))</x:f>
        <x:v>Futuro</x:v>
      </x:c>
      <x:c r="J497" s="43" t="n">
        <x:f>IF(OR(E497="Concluído",A497&gt;=TODAY()),0,TODAY()-A497)</x:f>
        <x:v>0</x:v>
      </x:c>
      <x:c r="K497" s="40" t="str"/>
    </x:row>
    <x:row r="498">
      <x:c r="A498" s="34" t="n">
        <x:v>46339</x:v>
      </x:c>
      <x:c r="B498" s="40" t="str">
        <x:v>Língua Portuguesa</x:v>
      </x:c>
      <x:c r="C498" s="40" t="str">
        <x:v>2 - Morfossintaxe II</x:v>
      </x:c>
      <x:c r="D498" s="40" t="str">
        <x:v>Videoaula</x:v>
      </x:c>
      <x:c r="E498" s="40" t="str">
        <x:v>Não iniciado</x:v>
      </x:c>
      <x:c r="F498" s="41" t="str"/>
      <x:c r="G498" s="42" t="str"/>
      <x:c r="H498" s="40" t="str">
        <x:v>Normal</x:v>
      </x:c>
      <x:c r="I498" s="40" t="str">
        <x:f>IF(E498="Concluído","Concluído",IF(A498&lt;TODAY(),"Atrasado",IF(A498=TODAY(),"Hoje","Futuro")))</x:f>
        <x:v>Futuro</x:v>
      </x:c>
      <x:c r="J498" s="43" t="n">
        <x:f>IF(OR(E498="Concluído",A498&gt;=TODAY()),0,TODAY()-A498)</x:f>
        <x:v>0</x:v>
      </x:c>
      <x:c r="K498" s="40" t="str"/>
    </x:row>
    <x:row r="499">
      <x:c r="A499" s="34" t="n">
        <x:v>46339</x:v>
      </x:c>
      <x:c r="B499" s="40" t="str">
        <x:v>Língua Inglesa</x:v>
      </x:c>
      <x:c r="C499" s="40" t="str">
        <x:v>40 - The Use Of Music And Songs In The Efl Classroom II</x:v>
      </x:c>
      <x:c r="D499" s="40" t="str">
        <x:v>Videoaula</x:v>
      </x:c>
      <x:c r="E499" s="40" t="str">
        <x:v>Não iniciado</x:v>
      </x:c>
      <x:c r="F499" s="41" t="str"/>
      <x:c r="G499" s="42" t="str"/>
      <x:c r="H499" s="40" t="str">
        <x:v>Normal</x:v>
      </x:c>
      <x:c r="I499" s="40" t="str">
        <x:f>IF(E499="Concluído","Concluído",IF(A499&lt;TODAY(),"Atrasado",IF(A499=TODAY(),"Hoje","Futuro")))</x:f>
        <x:v>Futuro</x:v>
      </x:c>
      <x:c r="J499" s="43" t="n">
        <x:f>IF(OR(E499="Concluído",A499&gt;=TODAY()),0,TODAY()-A499)</x:f>
        <x:v>0</x:v>
      </x:c>
      <x:c r="K499" s="40" t="str"/>
    </x:row>
    <x:row r="500">
      <x:c r="A500" s="34" t="n">
        <x:v>46340</x:v>
      </x:c>
      <x:c r="B500" s="40" t="str">
        <x:v>Língua Inglesa</x:v>
      </x:c>
      <x:c r="C500" s="40" t="str">
        <x:v>40 - The Use Of Music And Songs In The Efl Classroom II</x:v>
      </x:c>
      <x:c r="D500" s="40" t="str">
        <x:v>Videoaula</x:v>
      </x:c>
      <x:c r="E500" s="40" t="str">
        <x:v>Não iniciado</x:v>
      </x:c>
      <x:c r="F500" s="41" t="str"/>
      <x:c r="G500" s="42" t="str"/>
      <x:c r="H500" s="40" t="str">
        <x:v>Normal</x:v>
      </x:c>
      <x:c r="I500" s="40" t="str">
        <x:f>IF(E500="Concluído","Concluído",IF(A500&lt;TODAY(),"Atrasado",IF(A500=TODAY(),"Hoje","Futuro")))</x:f>
        <x:v>Futuro</x:v>
      </x:c>
      <x:c r="J500" s="43" t="n">
        <x:f>IF(OR(E500="Concluído",A500&gt;=TODAY()),0,TODAY()-A500)</x:f>
        <x:v>0</x:v>
      </x:c>
      <x:c r="K500" s="40" t="str"/>
    </x:row>
    <x:row r="501">
      <x:c r="A501" s="34" t="n">
        <x:v>46340</x:v>
      </x:c>
      <x:c r="B501" s="40" t="str">
        <x:v>Língua Inglesa</x:v>
      </x:c>
      <x:c r="C501" s="40" t="str">
        <x:v>41 - Trust And Audit</x:v>
      </x:c>
      <x:c r="D501" s="40" t="str">
        <x:v>Videoaula</x:v>
      </x:c>
      <x:c r="E501" s="40" t="str">
        <x:v>Não iniciado</x:v>
      </x:c>
      <x:c r="F501" s="41" t="str"/>
      <x:c r="G501" s="42" t="str"/>
      <x:c r="H501" s="40" t="str">
        <x:v>Normal</x:v>
      </x:c>
      <x:c r="I501" s="40" t="str">
        <x:f>IF(E501="Concluído","Concluído",IF(A501&lt;TODAY(),"Atrasado",IF(A501=TODAY(),"Hoje","Futuro")))</x:f>
        <x:v>Futuro</x:v>
      </x:c>
      <x:c r="J501" s="43" t="n">
        <x:f>IF(OR(E501="Concluído",A501&gt;=TODAY()),0,TODAY()-A501)</x:f>
        <x:v>0</x:v>
      </x:c>
      <x:c r="K501" s="40" t="str"/>
    </x:row>
    <x:row r="502">
      <x:c r="A502" s="34" t="n">
        <x:v>46340</x:v>
      </x:c>
      <x:c r="B502" s="40" t="str">
        <x:v>Atualidades e Inteligência Artificial</x:v>
      </x:c>
      <x:c r="C502" s="40" t="str">
        <x:v>9 - Tipos de Aprendizado III</x:v>
      </x:c>
      <x:c r="D502" s="40" t="str">
        <x:v>Videoaula</x:v>
      </x:c>
      <x:c r="E502" s="40" t="str">
        <x:v>Não iniciado</x:v>
      </x:c>
      <x:c r="F502" s="41" t="str"/>
      <x:c r="G502" s="42" t="str"/>
      <x:c r="H502" s="40" t="str">
        <x:v>Normal</x:v>
      </x:c>
      <x:c r="I502" s="40" t="str">
        <x:f>IF(E502="Concluído","Concluído",IF(A502&lt;TODAY(),"Atrasado",IF(A502=TODAY(),"Hoje","Futuro")))</x:f>
        <x:v>Futuro</x:v>
      </x:c>
      <x:c r="J502" s="43" t="n">
        <x:f>IF(OR(E502="Concluído",A502&gt;=TODAY()),0,TODAY()-A502)</x:f>
        <x:v>0</x:v>
      </x:c>
      <x:c r="K502" s="40" t="str"/>
    </x:row>
    <x:row r="503">
      <x:c r="A503" s="34" t="n">
        <x:v>46340</x:v>
      </x:c>
      <x:c r="B503" s="40" t="str">
        <x:v>Atualidades e Inteligência Artificial</x:v>
      </x:c>
      <x:c r="C503" s="40" t="str">
        <x:v>10 - Undertitting e Overfitting</x:v>
      </x:c>
      <x:c r="D503" s="40" t="str">
        <x:v>Videoaula</x:v>
      </x:c>
      <x:c r="E503" s="40" t="str">
        <x:v>Não iniciado</x:v>
      </x:c>
      <x:c r="F503" s="41" t="str"/>
      <x:c r="G503" s="42" t="str"/>
      <x:c r="H503" s="40" t="str">
        <x:v>Normal</x:v>
      </x:c>
      <x:c r="I503" s="40" t="str">
        <x:f>IF(E503="Concluído","Concluído",IF(A503&lt;TODAY(),"Atrasado",IF(A503=TODAY(),"Hoje","Futuro")))</x:f>
        <x:v>Futuro</x:v>
      </x:c>
      <x:c r="J503" s="43" t="n">
        <x:f>IF(OR(E503="Concluído",A503&gt;=TODAY()),0,TODAY()-A503)</x:f>
        <x:v>0</x:v>
      </x:c>
      <x:c r="K503" s="40" t="str"/>
    </x:row>
    <x:row r="504">
      <x:c r="A504" s="34" t="n">
        <x:v>46341</x:v>
      </x:c>
      <x:c r="B504" s="40" t="str">
        <x:v>Atualidades e Inteligência Artificial</x:v>
      </x:c>
      <x:c r="C504" s="40" t="str">
        <x:v>10 - Undertitting e Overfitting</x:v>
      </x:c>
      <x:c r="D504" s="40" t="str">
        <x:v>Videoaula</x:v>
      </x:c>
      <x:c r="E504" s="40" t="str">
        <x:v>Não iniciado</x:v>
      </x:c>
      <x:c r="F504" s="41" t="str"/>
      <x:c r="G504" s="42" t="str"/>
      <x:c r="H504" s="40" t="str">
        <x:v>Normal</x:v>
      </x:c>
      <x:c r="I504" s="40" t="str">
        <x:f>IF(E504="Concluído","Concluído",IF(A504&lt;TODAY(),"Atrasado",IF(A504=TODAY(),"Hoje","Futuro")))</x:f>
        <x:v>Futuro</x:v>
      </x:c>
      <x:c r="J504" s="43" t="n">
        <x:f>IF(OR(E504="Concluído",A504&gt;=TODAY()),0,TODAY()-A504)</x:f>
        <x:v>0</x:v>
      </x:c>
      <x:c r="K504" s="40" t="str"/>
    </x:row>
    <x:row r="505">
      <x:c r="A505" s="34" t="n">
        <x:v>46341</x:v>
      </x:c>
      <x:c r="B505" s="40" t="str">
        <x:v>Legislação Acerca de Segurança da Informação e Proteção de Dados</x:v>
      </x:c>
      <x:c r="C505" s="40" t="str">
        <x:v>19 - Lei nº 13.709/2018 - Lei Geral de Proteção de Dados Pessoais - LGPD XIX</x:v>
      </x:c>
      <x:c r="D505" s="40" t="str">
        <x:v>Videoaula</x:v>
      </x:c>
      <x:c r="E505" s="40" t="str">
        <x:v>Não iniciado</x:v>
      </x:c>
      <x:c r="F505" s="41" t="str"/>
      <x:c r="G505" s="42" t="str"/>
      <x:c r="H505" s="40" t="str">
        <x:v>Normal</x:v>
      </x:c>
      <x:c r="I505" s="40" t="str">
        <x:f>IF(E505="Concluído","Concluído",IF(A505&lt;TODAY(),"Atrasado",IF(A505=TODAY(),"Hoje","Futuro")))</x:f>
        <x:v>Futuro</x:v>
      </x:c>
      <x:c r="J505" s="43" t="n">
        <x:f>IF(OR(E505="Concluído",A505&gt;=TODAY()),0,TODAY()-A505)</x:f>
        <x:v>0</x:v>
      </x:c>
      <x:c r="K505" s="40" t="str"/>
    </x:row>
    <x:row r="506">
      <x:c r="A506" s="34" t="n">
        <x:v>46341</x:v>
      </x:c>
      <x:c r="B506" s="40" t="str">
        <x:v>Legislação Acerca de Segurança da Informação e Proteção de Dados</x:v>
      </x:c>
      <x:c r="C506" s="40" t="str">
        <x:v>20 - Lei nº 13.709/2018 - Lei Geral de Proteção de Dados Pessoais - LGPD XX</x:v>
      </x:c>
      <x:c r="D506" s="40" t="str">
        <x:v>Videoaula</x:v>
      </x:c>
      <x:c r="E506" s="40" t="str">
        <x:v>Não iniciado</x:v>
      </x:c>
      <x:c r="F506" s="41" t="str"/>
      <x:c r="G506" s="42" t="str"/>
      <x:c r="H506" s="40" t="str">
        <x:v>Normal</x:v>
      </x:c>
      <x:c r="I506" s="40" t="str">
        <x:f>IF(E506="Concluído","Concluído",IF(A506&lt;TODAY(),"Atrasado",IF(A506=TODAY(),"Hoje","Futuro")))</x:f>
        <x:v>Futuro</x:v>
      </x:c>
      <x:c r="J506" s="43" t="n">
        <x:f>IF(OR(E506="Concluído",A506&gt;=TODAY()),0,TODAY()-A506)</x:f>
        <x:v>0</x:v>
      </x:c>
      <x:c r="K506" s="40" t="str"/>
    </x:row>
    <x:row r="507">
      <x:c r="A507" s="34" t="n">
        <x:v>46341</x:v>
      </x:c>
      <x:c r="B507" s="40" t="str">
        <x:v>Gestão e Governança de Tecnologia da Informação</x:v>
      </x:c>
      <x:c r="C507" s="40" t="str">
        <x:v>8 - Gestão de Projetos - PMBOK 7ª Edição - Domínios de Desempenho - Partes Interessadas II</x:v>
      </x:c>
      <x:c r="D507" s="40" t="str">
        <x:v>Videoaula</x:v>
      </x:c>
      <x:c r="E507" s="40" t="str">
        <x:v>Não iniciado</x:v>
      </x:c>
      <x:c r="F507" s="41" t="str"/>
      <x:c r="G507" s="42" t="str"/>
      <x:c r="H507" s="40" t="str">
        <x:v>Normal</x:v>
      </x:c>
      <x:c r="I507" s="40" t="str">
        <x:f>IF(E507="Concluído","Concluído",IF(A507&lt;TODAY(),"Atrasado",IF(A507=TODAY(),"Hoje","Futuro")))</x:f>
        <x:v>Futuro</x:v>
      </x:c>
      <x:c r="J507" s="43" t="n">
        <x:f>IF(OR(E507="Concluído",A507&gt;=TODAY()),0,TODAY()-A507)</x:f>
        <x:v>0</x:v>
      </x:c>
      <x:c r="K507" s="40" t="str"/>
    </x:row>
    <x:row r="508">
      <x:c r="A508" s="34" t="n">
        <x:v>46341</x:v>
      </x:c>
      <x:c r="B508" s="40" t="str">
        <x:v>Gestão e Governança de Tecnologia da Informação</x:v>
      </x:c>
      <x:c r="C508" s="40" t="str">
        <x:v>9 - Gestão de Projetos - PMBOK 7ª Edição - Domínios de Desempenho - Partes Interessadas III</x:v>
      </x:c>
      <x:c r="D508" s="40" t="str">
        <x:v>Videoaula</x:v>
      </x:c>
      <x:c r="E508" s="40" t="str">
        <x:v>Não iniciado</x:v>
      </x:c>
      <x:c r="F508" s="41" t="str"/>
      <x:c r="G508" s="42" t="str"/>
      <x:c r="H508" s="40" t="str">
        <x:v>Normal</x:v>
      </x:c>
      <x:c r="I508" s="40" t="str">
        <x:f>IF(E508="Concluído","Concluído",IF(A508&lt;TODAY(),"Atrasado",IF(A508=TODAY(),"Hoje","Futuro")))</x:f>
        <x:v>Futuro</x:v>
      </x:c>
      <x:c r="J508" s="43" t="n">
        <x:f>IF(OR(E508="Concluído",A508&gt;=TODAY()),0,TODAY()-A508)</x:f>
        <x:v>0</x:v>
      </x:c>
      <x:c r="K508" s="40" t="str"/>
    </x:row>
    <x:row r="509">
      <x:c r="A509" s="34" t="n">
        <x:v>46341</x:v>
      </x:c>
      <x:c r="B509" s="40" t="str">
        <x:v>Revisão</x:v>
      </x:c>
      <x:c r="C509" s="40" t="str">
        <x:v>Revisão</x:v>
      </x:c>
      <x:c r="D509" s="40" t="str">
        <x:v>Revisao</x:v>
      </x:c>
      <x:c r="E509" s="40" t="str">
        <x:v>Não iniciado</x:v>
      </x:c>
      <x:c r="F509" s="41" t="str"/>
      <x:c r="G509" s="42" t="str"/>
      <x:c r="H509" s="40" t="str">
        <x:v>Normal</x:v>
      </x:c>
      <x:c r="I509" s="40" t="str">
        <x:f>IF(E509="Concluído","Concluído",IF(A509&lt;TODAY(),"Atrasado",IF(A509=TODAY(),"Hoje","Futuro")))</x:f>
        <x:v>Futuro</x:v>
      </x:c>
      <x:c r="J509" s="43" t="n">
        <x:f>IF(OR(E509="Concluído",A509&gt;=TODAY()),0,TODAY()-A509)</x:f>
        <x:v>0</x:v>
      </x:c>
      <x:c r="K509" s="40" t="str"/>
    </x:row>
    <x:row r="510">
      <x:c r="A510" s="34" t="n">
        <x:v>46342</x:v>
      </x:c>
      <x:c r="B510" s="40" t="str">
        <x:v>Gestão e Governança de Tecnologia da Informação</x:v>
      </x:c>
      <x:c r="C510" s="40" t="str">
        <x:v>9 - Gestão de Projetos - PMBOK 7ª Edição - Domínios de Desempenho - Partes Interessadas III</x:v>
      </x:c>
      <x:c r="D510" s="40" t="str">
        <x:v>Videoaula</x:v>
      </x:c>
      <x:c r="E510" s="40" t="str">
        <x:v>Não iniciado</x:v>
      </x:c>
      <x:c r="F510" s="41" t="str"/>
      <x:c r="G510" s="42" t="str"/>
      <x:c r="H510" s="40" t="str">
        <x:v>Normal</x:v>
      </x:c>
      <x:c r="I510" s="40" t="str">
        <x:f>IF(E510="Concluído","Concluído",IF(A510&lt;TODAY(),"Atrasado",IF(A510=TODAY(),"Hoje","Futuro")))</x:f>
        <x:v>Futuro</x:v>
      </x:c>
      <x:c r="J510" s="43" t="n">
        <x:f>IF(OR(E510="Concluído",A510&gt;=TODAY()),0,TODAY()-A510)</x:f>
        <x:v>0</x:v>
      </x:c>
      <x:c r="K510" s="40" t="str"/>
    </x:row>
    <x:row r="511">
      <x:c r="A511" s="34" t="n">
        <x:v>46342</x:v>
      </x:c>
      <x:c r="B511" s="40" t="str">
        <x:v>Língua Portuguesa</x:v>
      </x:c>
      <x:c r="C511" s="40" t="str">
        <x:v>2 - Relações de Coordenação entre Orações e entre Termos da Oração</x:v>
      </x:c>
      <x:c r="D511" s="40" t="str">
        <x:v>Pdf</x:v>
      </x:c>
      <x:c r="E511" s="40" t="str">
        <x:v>Não iniciado</x:v>
      </x:c>
      <x:c r="F511" s="41" t="str"/>
      <x:c r="G511" s="42" t="str"/>
      <x:c r="H511" s="40" t="str">
        <x:v>Normal</x:v>
      </x:c>
      <x:c r="I511" s="40" t="str">
        <x:f>IF(E511="Concluído","Concluído",IF(A511&lt;TODAY(),"Atrasado",IF(A511=TODAY(),"Hoje","Futuro")))</x:f>
        <x:v>Futuro</x:v>
      </x:c>
      <x:c r="J511" s="43" t="n">
        <x:f>IF(OR(E511="Concluído",A511&gt;=TODAY()),0,TODAY()-A511)</x:f>
        <x:v>0</x:v>
      </x:c>
      <x:c r="K511" s="40" t="str"/>
    </x:row>
    <x:row r="512">
      <x:c r="A512" s="34" t="n">
        <x:v>46342</x:v>
      </x:c>
      <x:c r="B512" s="40" t="str">
        <x:v>Inteligência Emocional</x:v>
      </x:c>
      <x:c r="C512" s="40" t="str">
        <x:v>21 - ELO 21: Autossabotagem</x:v>
      </x:c>
      <x:c r="D512" s="40" t="str">
        <x:v>Pdf</x:v>
      </x:c>
      <x:c r="E512" s="40" t="str">
        <x:v>Não iniciado</x:v>
      </x:c>
      <x:c r="F512" s="41" t="str"/>
      <x:c r="G512" s="42" t="str"/>
      <x:c r="H512" s="40" t="str">
        <x:v>Normal</x:v>
      </x:c>
      <x:c r="I512" s="40" t="str">
        <x:f>IF(E512="Concluído","Concluído",IF(A512&lt;TODAY(),"Atrasado",IF(A512=TODAY(),"Hoje","Futuro")))</x:f>
        <x:v>Futuro</x:v>
      </x:c>
      <x:c r="J512" s="43" t="n">
        <x:f>IF(OR(E512="Concluído",A512&gt;=TODAY()),0,TODAY()-A512)</x:f>
        <x:v>0</x:v>
      </x:c>
      <x:c r="K512" s="40" t="str"/>
    </x:row>
    <x:row r="513">
      <x:c r="A513" s="34" t="n">
        <x:v>46342</x:v>
      </x:c>
      <x:c r="B513" s="40" t="str">
        <x:v>Língua Portuguesa</x:v>
      </x:c>
      <x:c r="C513" s="40" t="str">
        <x:v>3 - Morfossintaxe III</x:v>
      </x:c>
      <x:c r="D513" s="40" t="str">
        <x:v>Videoaula</x:v>
      </x:c>
      <x:c r="E513" s="40" t="str">
        <x:v>Não iniciado</x:v>
      </x:c>
      <x:c r="F513" s="41" t="str"/>
      <x:c r="G513" s="42" t="str"/>
      <x:c r="H513" s="40" t="str">
        <x:v>Normal</x:v>
      </x:c>
      <x:c r="I513" s="40" t="str">
        <x:f>IF(E513="Concluído","Concluído",IF(A513&lt;TODAY(),"Atrasado",IF(A513=TODAY(),"Hoje","Futuro")))</x:f>
        <x:v>Futuro</x:v>
      </x:c>
      <x:c r="J513" s="43" t="n">
        <x:f>IF(OR(E513="Concluído",A513&gt;=TODAY()),0,TODAY()-A513)</x:f>
        <x:v>0</x:v>
      </x:c>
      <x:c r="K513" s="40" t="str"/>
    </x:row>
    <x:row r="514">
      <x:c r="A514" s="34" t="n">
        <x:v>46342</x:v>
      </x:c>
      <x:c r="B514" s="40" t="str">
        <x:v>Língua Portuguesa</x:v>
      </x:c>
      <x:c r="C514" s="40" t="str">
        <x:v>4 - Termos Relacionados a Verbos</x:v>
      </x:c>
      <x:c r="D514" s="40" t="str">
        <x:v>Videoaula</x:v>
      </x:c>
      <x:c r="E514" s="40" t="str">
        <x:v>Não iniciado</x:v>
      </x:c>
      <x:c r="F514" s="41" t="str"/>
      <x:c r="G514" s="42" t="str"/>
      <x:c r="H514" s="40" t="str">
        <x:v>Normal</x:v>
      </x:c>
      <x:c r="I514" s="40" t="str">
        <x:f>IF(E514="Concluído","Concluído",IF(A514&lt;TODAY(),"Atrasado",IF(A514=TODAY(),"Hoje","Futuro")))</x:f>
        <x:v>Futuro</x:v>
      </x:c>
      <x:c r="J514" s="43" t="n">
        <x:f>IF(OR(E514="Concluído",A514&gt;=TODAY()),0,TODAY()-A514)</x:f>
        <x:v>0</x:v>
      </x:c>
      <x:c r="K514" s="40" t="str"/>
    </x:row>
    <x:row r="515">
      <x:c r="A515" s="34" t="n">
        <x:v>46343</x:v>
      </x:c>
      <x:c r="B515" s="40" t="str">
        <x:v>Língua Portuguesa</x:v>
      </x:c>
      <x:c r="C515" s="40" t="str">
        <x:v>4 - Termos Relacionados a Verbos</x:v>
      </x:c>
      <x:c r="D515" s="40" t="str">
        <x:v>Videoaula</x:v>
      </x:c>
      <x:c r="E515" s="40" t="str">
        <x:v>Não iniciado</x:v>
      </x:c>
      <x:c r="F515" s="41" t="str"/>
      <x:c r="G515" s="42" t="str"/>
      <x:c r="H515" s="40" t="str">
        <x:v>Normal</x:v>
      </x:c>
      <x:c r="I515" s="40" t="str">
        <x:f>IF(E515="Concluído","Concluído",IF(A515&lt;TODAY(),"Atrasado",IF(A515=TODAY(),"Hoje","Futuro")))</x:f>
        <x:v>Futuro</x:v>
      </x:c>
      <x:c r="J515" s="43" t="n">
        <x:f>IF(OR(E515="Concluído",A515&gt;=TODAY()),0,TODAY()-A515)</x:f>
        <x:v>0</x:v>
      </x:c>
      <x:c r="K515" s="40" t="str"/>
    </x:row>
    <x:row r="516">
      <x:c r="A516" s="34" t="n">
        <x:v>46343</x:v>
      </x:c>
      <x:c r="B516" s="40" t="str">
        <x:v>Língua Inglesa</x:v>
      </x:c>
      <x:c r="C516" s="40" t="str">
        <x:v>42 - Virtues Of Vice – The Rewards From Investing In Politically Incorrect Companies</x:v>
      </x:c>
      <x:c r="D516" s="40" t="str">
        <x:v>Videoaula</x:v>
      </x:c>
      <x:c r="E516" s="40" t="str">
        <x:v>Não iniciado</x:v>
      </x:c>
      <x:c r="F516" s="41" t="str"/>
      <x:c r="G516" s="42" t="str"/>
      <x:c r="H516" s="40" t="str">
        <x:v>Normal</x:v>
      </x:c>
      <x:c r="I516" s="40" t="str">
        <x:f>IF(E516="Concluído","Concluído",IF(A516&lt;TODAY(),"Atrasado",IF(A516=TODAY(),"Hoje","Futuro")))</x:f>
        <x:v>Futuro</x:v>
      </x:c>
      <x:c r="J516" s="43" t="n">
        <x:f>IF(OR(E516="Concluído",A516&gt;=TODAY()),0,TODAY()-A516)</x:f>
        <x:v>0</x:v>
      </x:c>
      <x:c r="K516" s="40" t="str"/>
    </x:row>
    <x:row r="517">
      <x:c r="A517" s="34" t="n">
        <x:v>46343</x:v>
      </x:c>
      <x:c r="B517" s="40" t="str">
        <x:v>Língua Inglesa</x:v>
      </x:c>
      <x:c r="C517" s="40" t="str">
        <x:v>43 - Wallerstein</x:v>
      </x:c>
      <x:c r="D517" s="40" t="str">
        <x:v>Videoaula</x:v>
      </x:c>
      <x:c r="E517" s="40" t="str">
        <x:v>Não iniciado</x:v>
      </x:c>
      <x:c r="F517" s="41" t="str"/>
      <x:c r="G517" s="42" t="str"/>
      <x:c r="H517" s="40" t="str">
        <x:v>Normal</x:v>
      </x:c>
      <x:c r="I517" s="40" t="str">
        <x:f>IF(E517="Concluído","Concluído",IF(A517&lt;TODAY(),"Atrasado",IF(A517=TODAY(),"Hoje","Futuro")))</x:f>
        <x:v>Futuro</x:v>
      </x:c>
      <x:c r="J517" s="43" t="n">
        <x:f>IF(OR(E517="Concluído",A517&gt;=TODAY()),0,TODAY()-A517)</x:f>
        <x:v>0</x:v>
      </x:c>
      <x:c r="K517" s="40" t="str"/>
    </x:row>
    <x:row r="518">
      <x:c r="A518" s="34" t="n">
        <x:v>46343</x:v>
      </x:c>
      <x:c r="B518" s="40" t="str">
        <x:v>Atualidades e Inteligência Artificial</x:v>
      </x:c>
      <x:c r="C518" s="40" t="str">
        <x:v>11 - Classificação de Modelos</x:v>
      </x:c>
      <x:c r="D518" s="40" t="str">
        <x:v>Videoaula</x:v>
      </x:c>
      <x:c r="E518" s="40" t="str">
        <x:v>Não iniciado</x:v>
      </x:c>
      <x:c r="F518" s="41" t="str"/>
      <x:c r="G518" s="42" t="str"/>
      <x:c r="H518" s="40" t="str">
        <x:v>Normal</x:v>
      </x:c>
      <x:c r="I518" s="40" t="str">
        <x:f>IF(E518="Concluído","Concluído",IF(A518&lt;TODAY(),"Atrasado",IF(A518=TODAY(),"Hoje","Futuro")))</x:f>
        <x:v>Futuro</x:v>
      </x:c>
      <x:c r="J518" s="43" t="n">
        <x:f>IF(OR(E518="Concluído",A518&gt;=TODAY()),0,TODAY()-A518)</x:f>
        <x:v>0</x:v>
      </x:c>
      <x:c r="K518" s="40" t="str"/>
    </x:row>
    <x:row r="519">
      <x:c r="A519" s="34" t="n">
        <x:v>46343</x:v>
      </x:c>
      <x:c r="B519" s="40" t="str">
        <x:v>Atualidades e Inteligência Artificial</x:v>
      </x:c>
      <x:c r="C519" s="40" t="str">
        <x:v>12 - Classificação de Modelos II</x:v>
      </x:c>
      <x:c r="D519" s="40" t="str">
        <x:v>Videoaula</x:v>
      </x:c>
      <x:c r="E519" s="40" t="str">
        <x:v>Não iniciado</x:v>
      </x:c>
      <x:c r="F519" s="41" t="str"/>
      <x:c r="G519" s="42" t="str"/>
      <x:c r="H519" s="40" t="str">
        <x:v>Normal</x:v>
      </x:c>
      <x:c r="I519" s="40" t="str">
        <x:f>IF(E519="Concluído","Concluído",IF(A519&lt;TODAY(),"Atrasado",IF(A519=TODAY(),"Hoje","Futuro")))</x:f>
        <x:v>Futuro</x:v>
      </x:c>
      <x:c r="J519" s="43" t="n">
        <x:f>IF(OR(E519="Concluído",A519&gt;=TODAY()),0,TODAY()-A519)</x:f>
        <x:v>0</x:v>
      </x:c>
      <x:c r="K519" s="40" t="str"/>
    </x:row>
    <x:row r="520">
      <x:c r="A520" s="34" t="n">
        <x:v>46344</x:v>
      </x:c>
      <x:c r="B520" s="40" t="str">
        <x:v>Atualidades e Inteligência Artificial</x:v>
      </x:c>
      <x:c r="C520" s="40" t="str">
        <x:v>12 - Classificação de Modelos II</x:v>
      </x:c>
      <x:c r="D520" s="40" t="str">
        <x:v>Videoaula</x:v>
      </x:c>
      <x:c r="E520" s="40" t="str">
        <x:v>Não iniciado</x:v>
      </x:c>
      <x:c r="F520" s="41" t="str"/>
      <x:c r="G520" s="42" t="str"/>
      <x:c r="H520" s="40" t="str">
        <x:v>Normal</x:v>
      </x:c>
      <x:c r="I520" s="40" t="str">
        <x:f>IF(E520="Concluído","Concluído",IF(A520&lt;TODAY(),"Atrasado",IF(A520=TODAY(),"Hoje","Futuro")))</x:f>
        <x:v>Futuro</x:v>
      </x:c>
      <x:c r="J520" s="43" t="n">
        <x:f>IF(OR(E520="Concluído",A520&gt;=TODAY()),0,TODAY()-A520)</x:f>
        <x:v>0</x:v>
      </x:c>
      <x:c r="K520" s="40" t="str"/>
    </x:row>
    <x:row r="521">
      <x:c r="A521" s="34" t="n">
        <x:v>46344</x:v>
      </x:c>
      <x:c r="B521" s="40" t="str">
        <x:v>Legislação Acerca de Segurança da Informação e Proteção de Dados</x:v>
      </x:c>
      <x:c r="C521" s="40" t="str">
        <x:v>21 - Lei nº 13.709/2018 - Lei Geral de Proteção de Dados Pessoais - LGPD XXI</x:v>
      </x:c>
      <x:c r="D521" s="40" t="str">
        <x:v>Videoaula</x:v>
      </x:c>
      <x:c r="E521" s="40" t="str">
        <x:v>Não iniciado</x:v>
      </x:c>
      <x:c r="F521" s="41" t="str"/>
      <x:c r="G521" s="42" t="str"/>
      <x:c r="H521" s="40" t="str">
        <x:v>Normal</x:v>
      </x:c>
      <x:c r="I521" s="40" t="str">
        <x:f>IF(E521="Concluído","Concluído",IF(A521&lt;TODAY(),"Atrasado",IF(A521=TODAY(),"Hoje","Futuro")))</x:f>
        <x:v>Futuro</x:v>
      </x:c>
      <x:c r="J521" s="43" t="n">
        <x:f>IF(OR(E521="Concluído",A521&gt;=TODAY()),0,TODAY()-A521)</x:f>
        <x:v>0</x:v>
      </x:c>
      <x:c r="K521" s="40" t="str"/>
    </x:row>
    <x:row r="522">
      <x:c r="A522" s="34" t="n">
        <x:v>46344</x:v>
      </x:c>
      <x:c r="B522" s="40" t="str">
        <x:v>Legislação Acerca de Segurança da Informação e Proteção de Dados</x:v>
      </x:c>
      <x:c r="C522" s="40" t="str">
        <x:v>22 - Lei nº 13.709/2018 - Lei Geral de Proteção de Dados Pessoais - LGPD XXII</x:v>
      </x:c>
      <x:c r="D522" s="40" t="str">
        <x:v>Videoaula</x:v>
      </x:c>
      <x:c r="E522" s="40" t="str">
        <x:v>Não iniciado</x:v>
      </x:c>
      <x:c r="F522" s="41" t="str"/>
      <x:c r="G522" s="42" t="str"/>
      <x:c r="H522" s="40" t="str">
        <x:v>Normal</x:v>
      </x:c>
      <x:c r="I522" s="40" t="str">
        <x:f>IF(E522="Concluído","Concluído",IF(A522&lt;TODAY(),"Atrasado",IF(A522=TODAY(),"Hoje","Futuro")))</x:f>
        <x:v>Futuro</x:v>
      </x:c>
      <x:c r="J522" s="43" t="n">
        <x:f>IF(OR(E522="Concluído",A522&gt;=TODAY()),0,TODAY()-A522)</x:f>
        <x:v>0</x:v>
      </x:c>
      <x:c r="K522" s="40" t="str"/>
    </x:row>
    <x:row r="523">
      <x:c r="A523" s="34" t="n">
        <x:v>46344</x:v>
      </x:c>
      <x:c r="B523" s="40" t="str">
        <x:v>Gestão e Governança de Tecnologia da Informação</x:v>
      </x:c>
      <x:c r="C523" s="40" t="str">
        <x:v>10 - Gestão de Projetos - PMBOK 7ª Edição - Domínio de Desempenho da Equipe</x:v>
      </x:c>
      <x:c r="D523" s="40" t="str">
        <x:v>Videoaula</x:v>
      </x:c>
      <x:c r="E523" s="40" t="str">
        <x:v>Não iniciado</x:v>
      </x:c>
      <x:c r="F523" s="41" t="str"/>
      <x:c r="G523" s="42" t="str"/>
      <x:c r="H523" s="40" t="str">
        <x:v>Normal</x:v>
      </x:c>
      <x:c r="I523" s="40" t="str">
        <x:f>IF(E523="Concluído","Concluído",IF(A523&lt;TODAY(),"Atrasado",IF(A523=TODAY(),"Hoje","Futuro")))</x:f>
        <x:v>Futuro</x:v>
      </x:c>
      <x:c r="J523" s="43" t="n">
        <x:f>IF(OR(E523="Concluído",A523&gt;=TODAY()),0,TODAY()-A523)</x:f>
        <x:v>0</x:v>
      </x:c>
      <x:c r="K523" s="40" t="str"/>
    </x:row>
    <x:row r="524">
      <x:c r="A524" s="34" t="n">
        <x:v>46345</x:v>
      </x:c>
      <x:c r="B524" s="40" t="str">
        <x:v>Gestão e Governança de Tecnologia da Informação</x:v>
      </x:c>
      <x:c r="C524" s="40" t="str">
        <x:v>10 - Gestão de Projetos - PMBOK 7ª Edição - Domínio de Desempenho da Equipe</x:v>
      </x:c>
      <x:c r="D524" s="40" t="str">
        <x:v>Videoaula</x:v>
      </x:c>
      <x:c r="E524" s="40" t="str">
        <x:v>Não iniciado</x:v>
      </x:c>
      <x:c r="F524" s="41" t="str"/>
      <x:c r="G524" s="42" t="str"/>
      <x:c r="H524" s="40" t="str">
        <x:v>Normal</x:v>
      </x:c>
      <x:c r="I524" s="40" t="str">
        <x:f>IF(E524="Concluído","Concluído",IF(A524&lt;TODAY(),"Atrasado",IF(A524=TODAY(),"Hoje","Futuro")))</x:f>
        <x:v>Futuro</x:v>
      </x:c>
      <x:c r="J524" s="43" t="n">
        <x:f>IF(OR(E524="Concluído",A524&gt;=TODAY()),0,TODAY()-A524)</x:f>
        <x:v>0</x:v>
      </x:c>
      <x:c r="K524" s="40" t="str"/>
    </x:row>
    <x:row r="525">
      <x:c r="A525" s="34" t="n">
        <x:v>46345</x:v>
      </x:c>
      <x:c r="B525" s="40" t="str">
        <x:v>Gestão e Governança de Tecnologia da Informação</x:v>
      </x:c>
      <x:c r="C525" s="40" t="str">
        <x:v>11 - Gestão de Projetos - PMBOK 7ª Edição - Domínio de Desempenho da Equipe II</x:v>
      </x:c>
      <x:c r="D525" s="40" t="str">
        <x:v>Videoaula</x:v>
      </x:c>
      <x:c r="E525" s="40" t="str">
        <x:v>Não iniciado</x:v>
      </x:c>
      <x:c r="F525" s="41" t="str"/>
      <x:c r="G525" s="42" t="str"/>
      <x:c r="H525" s="40" t="str">
        <x:v>Normal</x:v>
      </x:c>
      <x:c r="I525" s="40" t="str">
        <x:f>IF(E525="Concluído","Concluído",IF(A525&lt;TODAY(),"Atrasado",IF(A525=TODAY(),"Hoje","Futuro")))</x:f>
        <x:v>Futuro</x:v>
      </x:c>
      <x:c r="J525" s="43" t="n">
        <x:f>IF(OR(E525="Concluído",A525&gt;=TODAY()),0,TODAY()-A525)</x:f>
        <x:v>0</x:v>
      </x:c>
      <x:c r="K525" s="40" t="str"/>
    </x:row>
    <x:row r="526">
      <x:c r="A526" s="34" t="n">
        <x:v>46345</x:v>
      </x:c>
      <x:c r="B526" s="40" t="str">
        <x:v>Língua Portuguesa</x:v>
      </x:c>
      <x:c r="C526" s="40" t="str">
        <x:v>3 - Relações de Subordinação entre Orações e entre Termos da Oração</x:v>
      </x:c>
      <x:c r="D526" s="40" t="str">
        <x:v>Pdf</x:v>
      </x:c>
      <x:c r="E526" s="40" t="str">
        <x:v>Não iniciado</x:v>
      </x:c>
      <x:c r="F526" s="41" t="str"/>
      <x:c r="G526" s="42" t="str"/>
      <x:c r="H526" s="40" t="str">
        <x:v>Normal</x:v>
      </x:c>
      <x:c r="I526" s="40" t="str">
        <x:f>IF(E526="Concluído","Concluído",IF(A526&lt;TODAY(),"Atrasado",IF(A526=TODAY(),"Hoje","Futuro")))</x:f>
        <x:v>Futuro</x:v>
      </x:c>
      <x:c r="J526" s="43" t="n">
        <x:f>IF(OR(E526="Concluído",A526&gt;=TODAY()),0,TODAY()-A526)</x:f>
        <x:v>0</x:v>
      </x:c>
      <x:c r="K526" s="40" t="str"/>
    </x:row>
    <x:row r="527">
      <x:c r="A527" s="34" t="n">
        <x:v>46345</x:v>
      </x:c>
      <x:c r="B527" s="40" t="str">
        <x:v>Inteligência Emocional</x:v>
      </x:c>
      <x:c r="C527" s="40" t="str">
        <x:v>22 - ELO 22: Os 18 Esquemas Mentais e o Concurseiro</x:v>
      </x:c>
      <x:c r="D527" s="40" t="str">
        <x:v>Pdf</x:v>
      </x:c>
      <x:c r="E527" s="40" t="str">
        <x:v>Não iniciado</x:v>
      </x:c>
      <x:c r="F527" s="41" t="str"/>
      <x:c r="G527" s="42" t="str"/>
      <x:c r="H527" s="40" t="str">
        <x:v>Normal</x:v>
      </x:c>
      <x:c r="I527" s="40" t="str">
        <x:f>IF(E527="Concluído","Concluído",IF(A527&lt;TODAY(),"Atrasado",IF(A527=TODAY(),"Hoje","Futuro")))</x:f>
        <x:v>Futuro</x:v>
      </x:c>
      <x:c r="J527" s="43" t="n">
        <x:f>IF(OR(E527="Concluído",A527&gt;=TODAY()),0,TODAY()-A527)</x:f>
        <x:v>0</x:v>
      </x:c>
      <x:c r="K527" s="40" t="str"/>
    </x:row>
    <x:row r="528">
      <x:c r="A528" s="34" t="n">
        <x:v>46345</x:v>
      </x:c>
      <x:c r="B528" s="40" t="str">
        <x:v>Língua Portuguesa</x:v>
      </x:c>
      <x:c r="C528" s="40" t="str">
        <x:v>5 - Termos Relacionados a Verbos II</x:v>
      </x:c>
      <x:c r="D528" s="40" t="str">
        <x:v>Videoaula</x:v>
      </x:c>
      <x:c r="E528" s="40" t="str">
        <x:v>Não iniciado</x:v>
      </x:c>
      <x:c r="F528" s="41" t="str"/>
      <x:c r="G528" s="42" t="str"/>
      <x:c r="H528" s="40" t="str">
        <x:v>Normal</x:v>
      </x:c>
      <x:c r="I528" s="40" t="str">
        <x:f>IF(E528="Concluído","Concluído",IF(A528&lt;TODAY(),"Atrasado",IF(A528=TODAY(),"Hoje","Futuro")))</x:f>
        <x:v>Futuro</x:v>
      </x:c>
      <x:c r="J528" s="43" t="n">
        <x:f>IF(OR(E528="Concluído",A528&gt;=TODAY()),0,TODAY()-A528)</x:f>
        <x:v>0</x:v>
      </x:c>
      <x:c r="K528" s="40" t="str"/>
    </x:row>
    <x:row r="529">
      <x:c r="A529" s="34" t="n">
        <x:v>46346</x:v>
      </x:c>
      <x:c r="B529" s="40" t="str">
        <x:v>Língua Portuguesa</x:v>
      </x:c>
      <x:c r="C529" s="40" t="str">
        <x:v>5 - Termos Relacionados a Verbos II</x:v>
      </x:c>
      <x:c r="D529" s="40" t="str">
        <x:v>Videoaula</x:v>
      </x:c>
      <x:c r="E529" s="40" t="str">
        <x:v>Não iniciado</x:v>
      </x:c>
      <x:c r="F529" s="41" t="str"/>
      <x:c r="G529" s="42" t="str"/>
      <x:c r="H529" s="40" t="str">
        <x:v>Normal</x:v>
      </x:c>
      <x:c r="I529" s="40" t="str">
        <x:f>IF(E529="Concluído","Concluído",IF(A529&lt;TODAY(),"Atrasado",IF(A529=TODAY(),"Hoje","Futuro")))</x:f>
        <x:v>Futuro</x:v>
      </x:c>
      <x:c r="J529" s="43" t="n">
        <x:f>IF(OR(E529="Concluído",A529&gt;=TODAY()),0,TODAY()-A529)</x:f>
        <x:v>0</x:v>
      </x:c>
      <x:c r="K529" s="40" t="str"/>
    </x:row>
    <x:row r="530">
      <x:c r="A530" s="34" t="n">
        <x:v>46346</x:v>
      </x:c>
      <x:c r="B530" s="40" t="str">
        <x:v>Língua Portuguesa</x:v>
      </x:c>
      <x:c r="C530" s="40" t="str">
        <x:v>6 - Termos Relacionados a Verbos III</x:v>
      </x:c>
      <x:c r="D530" s="40" t="str">
        <x:v>Videoaula</x:v>
      </x:c>
      <x:c r="E530" s="40" t="str">
        <x:v>Não iniciado</x:v>
      </x:c>
      <x:c r="F530" s="41" t="str"/>
      <x:c r="G530" s="42" t="str"/>
      <x:c r="H530" s="40" t="str">
        <x:v>Normal</x:v>
      </x:c>
      <x:c r="I530" s="40" t="str">
        <x:f>IF(E530="Concluído","Concluído",IF(A530&lt;TODAY(),"Atrasado",IF(A530=TODAY(),"Hoje","Futuro")))</x:f>
        <x:v>Futuro</x:v>
      </x:c>
      <x:c r="J530" s="43" t="n">
        <x:f>IF(OR(E530="Concluído",A530&gt;=TODAY()),0,TODAY()-A530)</x:f>
        <x:v>0</x:v>
      </x:c>
      <x:c r="K530" s="40" t="str"/>
    </x:row>
    <x:row r="531">
      <x:c r="A531" s="34" t="n">
        <x:v>46346</x:v>
      </x:c>
      <x:c r="B531" s="40" t="str">
        <x:v>Língua Inglesa</x:v>
      </x:c>
      <x:c r="C531" s="40" t="str">
        <x:v>44 - We’re So Well Educated</x:v>
      </x:c>
      <x:c r="D531" s="40" t="str">
        <x:v>Videoaula</x:v>
      </x:c>
      <x:c r="E531" s="40" t="str">
        <x:v>Não iniciado</x:v>
      </x:c>
      <x:c r="F531" s="41" t="str"/>
      <x:c r="G531" s="42" t="str"/>
      <x:c r="H531" s="40" t="str">
        <x:v>Normal</x:v>
      </x:c>
      <x:c r="I531" s="40" t="str">
        <x:f>IF(E531="Concluído","Concluído",IF(A531&lt;TODAY(),"Atrasado",IF(A531=TODAY(),"Hoje","Futuro")))</x:f>
        <x:v>Futuro</x:v>
      </x:c>
      <x:c r="J531" s="43" t="n">
        <x:f>IF(OR(E531="Concluído",A531&gt;=TODAY()),0,TODAY()-A531)</x:f>
        <x:v>0</x:v>
      </x:c>
      <x:c r="K531" s="40" t="str"/>
    </x:row>
    <x:row r="532">
      <x:c r="A532" s="34" t="n">
        <x:v>46346</x:v>
      </x:c>
      <x:c r="B532" s="40" t="str">
        <x:v>Língua Inglesa</x:v>
      </x:c>
      <x:c r="C532" s="40" t="str">
        <x:v>45 - With The Exception Of Business Owners</x:v>
      </x:c>
      <x:c r="D532" s="40" t="str">
        <x:v>Videoaula</x:v>
      </x:c>
      <x:c r="E532" s="40" t="str">
        <x:v>Não iniciado</x:v>
      </x:c>
      <x:c r="F532" s="41" t="str"/>
      <x:c r="G532" s="42" t="str"/>
      <x:c r="H532" s="40" t="str">
        <x:v>Normal</x:v>
      </x:c>
      <x:c r="I532" s="40" t="str">
        <x:f>IF(E532="Concluído","Concluído",IF(A532&lt;TODAY(),"Atrasado",IF(A532=TODAY(),"Hoje","Futuro")))</x:f>
        <x:v>Futuro</x:v>
      </x:c>
      <x:c r="J532" s="43" t="n">
        <x:f>IF(OR(E532="Concluído",A532&gt;=TODAY()),0,TODAY()-A532)</x:f>
        <x:v>0</x:v>
      </x:c>
      <x:c r="K532" s="40" t="str"/>
    </x:row>
    <x:row r="533">
      <x:c r="A533" s="34" t="n">
        <x:v>46346</x:v>
      </x:c>
      <x:c r="B533" s="40" t="str">
        <x:v>Atualidades e Inteligência Artificial</x:v>
      </x:c>
      <x:c r="C533" s="40" t="str">
        <x:v>13 - Árvore de Decisão</x:v>
      </x:c>
      <x:c r="D533" s="40" t="str">
        <x:v>Videoaula</x:v>
      </x:c>
      <x:c r="E533" s="40" t="str">
        <x:v>Não iniciado</x:v>
      </x:c>
      <x:c r="F533" s="41" t="str"/>
      <x:c r="G533" s="42" t="str"/>
      <x:c r="H533" s="40" t="str">
        <x:v>Normal</x:v>
      </x:c>
      <x:c r="I533" s="40" t="str">
        <x:f>IF(E533="Concluído","Concluído",IF(A533&lt;TODAY(),"Atrasado",IF(A533=TODAY(),"Hoje","Futuro")))</x:f>
        <x:v>Futuro</x:v>
      </x:c>
      <x:c r="J533" s="43" t="n">
        <x:f>IF(OR(E533="Concluído",A533&gt;=TODAY()),0,TODAY()-A533)</x:f>
        <x:v>0</x:v>
      </x:c>
      <x:c r="K533" s="40" t="str"/>
    </x:row>
    <x:row r="534">
      <x:c r="A534" s="34" t="n">
        <x:v>46347</x:v>
      </x:c>
      <x:c r="B534" s="40" t="str">
        <x:v>Atualidades e Inteligência Artificial</x:v>
      </x:c>
      <x:c r="C534" s="40" t="str">
        <x:v>13 - Árvore de Decisão</x:v>
      </x:c>
      <x:c r="D534" s="40" t="str">
        <x:v>Videoaula</x:v>
      </x:c>
      <x:c r="E534" s="40" t="str">
        <x:v>Não iniciado</x:v>
      </x:c>
      <x:c r="F534" s="41" t="str"/>
      <x:c r="G534" s="42" t="str"/>
      <x:c r="H534" s="40" t="str">
        <x:v>Normal</x:v>
      </x:c>
      <x:c r="I534" s="40" t="str">
        <x:f>IF(E534="Concluído","Concluído",IF(A534&lt;TODAY(),"Atrasado",IF(A534=TODAY(),"Hoje","Futuro")))</x:f>
        <x:v>Futuro</x:v>
      </x:c>
      <x:c r="J534" s="43" t="n">
        <x:f>IF(OR(E534="Concluído",A534&gt;=TODAY()),0,TODAY()-A534)</x:f>
        <x:v>0</x:v>
      </x:c>
      <x:c r="K534" s="40" t="str"/>
    </x:row>
    <x:row r="535">
      <x:c r="A535" s="34" t="n">
        <x:v>46347</x:v>
      </x:c>
      <x:c r="B535" s="40" t="str">
        <x:v>Atualidades e Inteligência Artificial</x:v>
      </x:c>
      <x:c r="C535" s="40" t="str">
        <x:v>14 - Random Forest</x:v>
      </x:c>
      <x:c r="D535" s="40" t="str">
        <x:v>Videoaula</x:v>
      </x:c>
      <x:c r="E535" s="40" t="str">
        <x:v>Não iniciado</x:v>
      </x:c>
      <x:c r="F535" s="41" t="str"/>
      <x:c r="G535" s="42" t="str"/>
      <x:c r="H535" s="40" t="str">
        <x:v>Normal</x:v>
      </x:c>
      <x:c r="I535" s="40" t="str">
        <x:f>IF(E535="Concluído","Concluído",IF(A535&lt;TODAY(),"Atrasado",IF(A535=TODAY(),"Hoje","Futuro")))</x:f>
        <x:v>Futuro</x:v>
      </x:c>
      <x:c r="J535" s="43" t="n">
        <x:f>IF(OR(E535="Concluído",A535&gt;=TODAY()),0,TODAY()-A535)</x:f>
        <x:v>0</x:v>
      </x:c>
      <x:c r="K535" s="40" t="str"/>
    </x:row>
    <x:row r="536">
      <x:c r="A536" s="34" t="n">
        <x:v>46347</x:v>
      </x:c>
      <x:c r="B536" s="40" t="str">
        <x:v>Legislação Acerca de Segurança da Informação e Proteção de Dados</x:v>
      </x:c>
      <x:c r="C536" s="40" t="str">
        <x:v>23 - Lei nº 13.709/2018 - Lei Geral de Proteção de Dados Pessoais - LGPD XXIII</x:v>
      </x:c>
      <x:c r="D536" s="40" t="str">
        <x:v>Videoaula</x:v>
      </x:c>
      <x:c r="E536" s="40" t="str">
        <x:v>Não iniciado</x:v>
      </x:c>
      <x:c r="F536" s="41" t="str"/>
      <x:c r="G536" s="42" t="str"/>
      <x:c r="H536" s="40" t="str">
        <x:v>Normal</x:v>
      </x:c>
      <x:c r="I536" s="40" t="str">
        <x:f>IF(E536="Concluído","Concluído",IF(A536&lt;TODAY(),"Atrasado",IF(A536=TODAY(),"Hoje","Futuro")))</x:f>
        <x:v>Futuro</x:v>
      </x:c>
      <x:c r="J536" s="43" t="n">
        <x:f>IF(OR(E536="Concluído",A536&gt;=TODAY()),0,TODAY()-A536)</x:f>
        <x:v>0</x:v>
      </x:c>
      <x:c r="K536" s="40" t="str"/>
    </x:row>
    <x:row r="537">
      <x:c r="A537" s="34" t="n">
        <x:v>46347</x:v>
      </x:c>
      <x:c r="B537" s="40" t="str">
        <x:v>Legislação Acerca de Segurança da Informação e Proteção de Dados</x:v>
      </x:c>
      <x:c r="C537" s="40" t="str">
        <x:v>24 - Lei nº 13.709/2018 - Lei Geral de Proteção de Dados Pessoais - LGPD XXIV</x:v>
      </x:c>
      <x:c r="D537" s="40" t="str">
        <x:v>Videoaula</x:v>
      </x:c>
      <x:c r="E537" s="40" t="str">
        <x:v>Não iniciado</x:v>
      </x:c>
      <x:c r="F537" s="41" t="str"/>
      <x:c r="G537" s="42" t="str"/>
      <x:c r="H537" s="40" t="str">
        <x:v>Normal</x:v>
      </x:c>
      <x:c r="I537" s="40" t="str">
        <x:f>IF(E537="Concluído","Concluído",IF(A537&lt;TODAY(),"Atrasado",IF(A537=TODAY(),"Hoje","Futuro")))</x:f>
        <x:v>Futuro</x:v>
      </x:c>
      <x:c r="J537" s="43" t="n">
        <x:f>IF(OR(E537="Concluído",A537&gt;=TODAY()),0,TODAY()-A537)</x:f>
        <x:v>0</x:v>
      </x:c>
      <x:c r="K537" s="40" t="str"/>
    </x:row>
    <x:row r="538">
      <x:c r="A538" s="34" t="n">
        <x:v>46347</x:v>
      </x:c>
      <x:c r="B538" s="40" t="str">
        <x:v>Gestão e Governança de Tecnologia da Informação</x:v>
      </x:c>
      <x:c r="C538" s="40" t="str">
        <x:v>12 - Gestão de Projetos - PMBOK 7ª Edição - Domínio de Desempenho da Equipe III</x:v>
      </x:c>
      <x:c r="D538" s="40" t="str">
        <x:v>Videoaula</x:v>
      </x:c>
      <x:c r="E538" s="40" t="str">
        <x:v>Não iniciado</x:v>
      </x:c>
      <x:c r="F538" s="41" t="str"/>
      <x:c r="G538" s="42" t="str"/>
      <x:c r="H538" s="40" t="str">
        <x:v>Normal</x:v>
      </x:c>
      <x:c r="I538" s="40" t="str">
        <x:f>IF(E538="Concluído","Concluído",IF(A538&lt;TODAY(),"Atrasado",IF(A538=TODAY(),"Hoje","Futuro")))</x:f>
        <x:v>Futuro</x:v>
      </x:c>
      <x:c r="J538" s="43" t="n">
        <x:f>IF(OR(E538="Concluído",A538&gt;=TODAY()),0,TODAY()-A538)</x:f>
        <x:v>0</x:v>
      </x:c>
      <x:c r="K538" s="40" t="str"/>
    </x:row>
    <x:row r="539">
      <x:c r="A539" s="34" t="n">
        <x:v>46348</x:v>
      </x:c>
      <x:c r="B539" s="40" t="str">
        <x:v>Gestão e Governança de Tecnologia da Informação</x:v>
      </x:c>
      <x:c r="C539" s="40" t="str">
        <x:v>12 - Gestão de Projetos - PMBOK 7ª Edição - Domínio de Desempenho da Equipe III</x:v>
      </x:c>
      <x:c r="D539" s="40" t="str">
        <x:v>Videoaula</x:v>
      </x:c>
      <x:c r="E539" s="40" t="str">
        <x:v>Não iniciado</x:v>
      </x:c>
      <x:c r="F539" s="41" t="str"/>
      <x:c r="G539" s="42" t="str"/>
      <x:c r="H539" s="40" t="str">
        <x:v>Normal</x:v>
      </x:c>
      <x:c r="I539" s="40" t="str">
        <x:f>IF(E539="Concluído","Concluído",IF(A539&lt;TODAY(),"Atrasado",IF(A539=TODAY(),"Hoje","Futuro")))</x:f>
        <x:v>Futuro</x:v>
      </x:c>
      <x:c r="J539" s="43" t="n">
        <x:f>IF(OR(E539="Concluído",A539&gt;=TODAY()),0,TODAY()-A539)</x:f>
        <x:v>0</x:v>
      </x:c>
      <x:c r="K539" s="40" t="str"/>
    </x:row>
    <x:row r="540">
      <x:c r="A540" s="34" t="n">
        <x:v>46348</x:v>
      </x:c>
      <x:c r="B540" s="40" t="str">
        <x:v>Gestão e Governança de Tecnologia da Informação</x:v>
      </x:c>
      <x:c r="C540" s="40" t="str">
        <x:v>13 - Gestão de Projetos - PMBOK 7ª Edição - Domínio de Desempenho da Abordagem de Desenvolvimento e do Ciclo de Vida</x:v>
      </x:c>
      <x:c r="D540" s="40" t="str">
        <x:v>Videoaula</x:v>
      </x:c>
      <x:c r="E540" s="40" t="str">
        <x:v>Não iniciado</x:v>
      </x:c>
      <x:c r="F540" s="41" t="str"/>
      <x:c r="G540" s="42" t="str"/>
      <x:c r="H540" s="40" t="str">
        <x:v>Normal</x:v>
      </x:c>
      <x:c r="I540" s="40" t="str">
        <x:f>IF(E540="Concluído","Concluído",IF(A540&lt;TODAY(),"Atrasado",IF(A540=TODAY(),"Hoje","Futuro")))</x:f>
        <x:v>Futuro</x:v>
      </x:c>
      <x:c r="J540" s="43" t="n">
        <x:f>IF(OR(E540="Concluído",A540&gt;=TODAY()),0,TODAY()-A540)</x:f>
        <x:v>0</x:v>
      </x:c>
      <x:c r="K540" s="40" t="str"/>
    </x:row>
    <x:row r="541">
      <x:c r="A541" s="34" t="n">
        <x:v>46348</x:v>
      </x:c>
      <x:c r="B541" s="40" t="str">
        <x:v>Língua Portuguesa</x:v>
      </x:c>
      <x:c r="C541" s="40" t="str">
        <x:v>4 - Funções do QUE e do SE</x:v>
      </x:c>
      <x:c r="D541" s="40" t="str">
        <x:v>Pdf</x:v>
      </x:c>
      <x:c r="E541" s="40" t="str">
        <x:v>Não iniciado</x:v>
      </x:c>
      <x:c r="F541" s="41" t="str"/>
      <x:c r="G541" s="42" t="str"/>
      <x:c r="H541" s="40" t="str">
        <x:v>Normal</x:v>
      </x:c>
      <x:c r="I541" s="40" t="str">
        <x:f>IF(E541="Concluído","Concluído",IF(A541&lt;TODAY(),"Atrasado",IF(A541=TODAY(),"Hoje","Futuro")))</x:f>
        <x:v>Futuro</x:v>
      </x:c>
      <x:c r="J541" s="43" t="n">
        <x:f>IF(OR(E541="Concluído",A541&gt;=TODAY()),0,TODAY()-A541)</x:f>
        <x:v>0</x:v>
      </x:c>
      <x:c r="K541" s="40" t="str"/>
    </x:row>
    <x:row r="542">
      <x:c r="A542" s="34" t="n">
        <x:v>46348</x:v>
      </x:c>
      <x:c r="B542" s="40" t="str">
        <x:v>Inteligência Emocional</x:v>
      </x:c>
      <x:c r="C542" s="40" t="str">
        <x:v>23 - ELO 23: Dizer NÃO Poderá Mudar a sua Vida</x:v>
      </x:c>
      <x:c r="D542" s="40" t="str">
        <x:v>Pdf</x:v>
      </x:c>
      <x:c r="E542" s="40" t="str">
        <x:v>Não iniciado</x:v>
      </x:c>
      <x:c r="F542" s="41" t="str"/>
      <x:c r="G542" s="42" t="str"/>
      <x:c r="H542" s="40" t="str">
        <x:v>Normal</x:v>
      </x:c>
      <x:c r="I542" s="40" t="str">
        <x:f>IF(E542="Concluído","Concluído",IF(A542&lt;TODAY(),"Atrasado",IF(A542=TODAY(),"Hoje","Futuro")))</x:f>
        <x:v>Futuro</x:v>
      </x:c>
      <x:c r="J542" s="43" t="n">
        <x:f>IF(OR(E542="Concluído",A542&gt;=TODAY()),0,TODAY()-A542)</x:f>
        <x:v>0</x:v>
      </x:c>
      <x:c r="K542" s="40" t="str"/>
    </x:row>
    <x:row r="543">
      <x:c r="A543" s="34" t="n">
        <x:v>46348</x:v>
      </x:c>
      <x:c r="B543" s="40" t="str">
        <x:v>Língua Portuguesa</x:v>
      </x:c>
      <x:c r="C543" s="40" t="str">
        <x:v>7 - Termos Relacionados a Verbos - Exercícios</x:v>
      </x:c>
      <x:c r="D543" s="40" t="str">
        <x:v>Videoaula</x:v>
      </x:c>
      <x:c r="E543" s="40" t="str">
        <x:v>Não iniciado</x:v>
      </x:c>
      <x:c r="F543" s="41" t="str"/>
      <x:c r="G543" s="42" t="str"/>
      <x:c r="H543" s="40" t="str">
        <x:v>Normal</x:v>
      </x:c>
      <x:c r="I543" s="40" t="str">
        <x:f>IF(E543="Concluído","Concluído",IF(A543&lt;TODAY(),"Atrasado",IF(A543=TODAY(),"Hoje","Futuro")))</x:f>
        <x:v>Futuro</x:v>
      </x:c>
      <x:c r="J543" s="43" t="n">
        <x:f>IF(OR(E543="Concluído",A543&gt;=TODAY()),0,TODAY()-A543)</x:f>
        <x:v>0</x:v>
      </x:c>
      <x:c r="K543" s="40" t="str"/>
    </x:row>
    <x:row r="544">
      <x:c r="A544" s="34" t="n">
        <x:v>46348</x:v>
      </x:c>
      <x:c r="B544" s="40" t="str">
        <x:v>Língua Portuguesa</x:v>
      </x:c>
      <x:c r="C544" s="40" t="str">
        <x:v>8 - Termos Relacionados a Nomes (Aposto)</x:v>
      </x:c>
      <x:c r="D544" s="40" t="str">
        <x:v>Videoaula</x:v>
      </x:c>
      <x:c r="E544" s="40" t="str">
        <x:v>Não iniciado</x:v>
      </x:c>
      <x:c r="F544" s="41" t="str"/>
      <x:c r="G544" s="42" t="str"/>
      <x:c r="H544" s="40" t="str">
        <x:v>Normal</x:v>
      </x:c>
      <x:c r="I544" s="40" t="str">
        <x:f>IF(E544="Concluído","Concluído",IF(A544&lt;TODAY(),"Atrasado",IF(A544=TODAY(),"Hoje","Futuro")))</x:f>
        <x:v>Futuro</x:v>
      </x:c>
      <x:c r="J544" s="43" t="n">
        <x:f>IF(OR(E544="Concluído",A544&gt;=TODAY()),0,TODAY()-A544)</x:f>
        <x:v>0</x:v>
      </x:c>
      <x:c r="K544" s="40" t="str"/>
    </x:row>
    <x:row r="545">
      <x:c r="A545" s="34" t="n">
        <x:v>46348</x:v>
      </x:c>
      <x:c r="B545" s="40" t="str">
        <x:v>Revisão</x:v>
      </x:c>
      <x:c r="C545" s="40" t="str">
        <x:v>Revisão</x:v>
      </x:c>
      <x:c r="D545" s="40" t="str">
        <x:v>Revisao</x:v>
      </x:c>
      <x:c r="E545" s="40" t="str">
        <x:v>Não iniciado</x:v>
      </x:c>
      <x:c r="F545" s="41" t="str"/>
      <x:c r="G545" s="42" t="str"/>
      <x:c r="H545" s="40" t="str">
        <x:v>Normal</x:v>
      </x:c>
      <x:c r="I545" s="40" t="str">
        <x:f>IF(E545="Concluído","Concluído",IF(A545&lt;TODAY(),"Atrasado",IF(A545=TODAY(),"Hoje","Futuro")))</x:f>
        <x:v>Futuro</x:v>
      </x:c>
      <x:c r="J545" s="43" t="n">
        <x:f>IF(OR(E545="Concluído",A545&gt;=TODAY()),0,TODAY()-A545)</x:f>
        <x:v>0</x:v>
      </x:c>
      <x:c r="K545" s="40" t="str"/>
    </x:row>
    <x:row r="546">
      <x:c r="A546" s="34" t="n">
        <x:v>46349</x:v>
      </x:c>
      <x:c r="B546" s="40" t="str">
        <x:v>Língua Portuguesa</x:v>
      </x:c>
      <x:c r="C546" s="40" t="str">
        <x:v>8 - Termos Relacionados a Nomes (Aposto)</x:v>
      </x:c>
      <x:c r="D546" s="40" t="str">
        <x:v>Videoaula</x:v>
      </x:c>
      <x:c r="E546" s="40" t="str">
        <x:v>Não iniciado</x:v>
      </x:c>
      <x:c r="F546" s="41" t="str"/>
      <x:c r="G546" s="42" t="str"/>
      <x:c r="H546" s="40" t="str">
        <x:v>Normal</x:v>
      </x:c>
      <x:c r="I546" s="40" t="str">
        <x:f>IF(E546="Concluído","Concluído",IF(A546&lt;TODAY(),"Atrasado",IF(A546=TODAY(),"Hoje","Futuro")))</x:f>
        <x:v>Futuro</x:v>
      </x:c>
      <x:c r="J546" s="43" t="n">
        <x:f>IF(OR(E546="Concluído",A546&gt;=TODAY()),0,TODAY()-A546)</x:f>
        <x:v>0</x:v>
      </x:c>
      <x:c r="K546" s="40" t="str"/>
    </x:row>
    <x:row r="547">
      <x:c r="A547" s="34" t="n">
        <x:v>46349</x:v>
      </x:c>
      <x:c r="B547" s="40" t="str">
        <x:v>Língua Inglesa</x:v>
      </x:c>
      <x:c r="C547" s="40" t="str">
        <x:v>46 - Geopolitical Tensions And Resource Nationalism</x:v>
      </x:c>
      <x:c r="D547" s="40" t="str">
        <x:v>Videoaula</x:v>
      </x:c>
      <x:c r="E547" s="40" t="str">
        <x:v>Não iniciado</x:v>
      </x:c>
      <x:c r="F547" s="41" t="str"/>
      <x:c r="G547" s="42" t="str"/>
      <x:c r="H547" s="40" t="str">
        <x:v>Normal</x:v>
      </x:c>
      <x:c r="I547" s="40" t="str">
        <x:f>IF(E547="Concluído","Concluído",IF(A547&lt;TODAY(),"Atrasado",IF(A547=TODAY(),"Hoje","Futuro")))</x:f>
        <x:v>Futuro</x:v>
      </x:c>
      <x:c r="J547" s="43" t="n">
        <x:f>IF(OR(E547="Concluído",A547&gt;=TODAY()),0,TODAY()-A547)</x:f>
        <x:v>0</x:v>
      </x:c>
      <x:c r="K547" s="40" t="str"/>
    </x:row>
    <x:row r="548">
      <x:c r="A548" s="34" t="n">
        <x:v>46349</x:v>
      </x:c>
      <x:c r="B548" s="40" t="str">
        <x:v>Língua Inglesa</x:v>
      </x:c>
      <x:c r="C548" s="40" t="str">
        <x:v>47 - Niobium</x:v>
      </x:c>
      <x:c r="D548" s="40" t="str">
        <x:v>Videoaula</x:v>
      </x:c>
      <x:c r="E548" s="40" t="str">
        <x:v>Não iniciado</x:v>
      </x:c>
      <x:c r="F548" s="41" t="str"/>
      <x:c r="G548" s="42" t="str"/>
      <x:c r="H548" s="40" t="str">
        <x:v>Normal</x:v>
      </x:c>
      <x:c r="I548" s="40" t="str">
        <x:f>IF(E548="Concluído","Concluído",IF(A548&lt;TODAY(),"Atrasado",IF(A548=TODAY(),"Hoje","Futuro")))</x:f>
        <x:v>Futuro</x:v>
      </x:c>
      <x:c r="J548" s="43" t="n">
        <x:f>IF(OR(E548="Concluído",A548&gt;=TODAY()),0,TODAY()-A548)</x:f>
        <x:v>0</x:v>
      </x:c>
      <x:c r="K548" s="40" t="str"/>
    </x:row>
    <x:row r="549">
      <x:c r="A549" s="34" t="n">
        <x:v>46349</x:v>
      </x:c>
      <x:c r="B549" s="40" t="str">
        <x:v>Atualidades e Inteligência Artificial</x:v>
      </x:c>
      <x:c r="C549" s="40" t="str">
        <x:v>15 - Regressão Logistica</x:v>
      </x:c>
      <x:c r="D549" s="40" t="str">
        <x:v>Videoaula</x:v>
      </x:c>
      <x:c r="E549" s="40" t="str">
        <x:v>Não iniciado</x:v>
      </x:c>
      <x:c r="F549" s="41" t="str"/>
      <x:c r="G549" s="42" t="str"/>
      <x:c r="H549" s="40" t="str">
        <x:v>Normal</x:v>
      </x:c>
      <x:c r="I549" s="40" t="str">
        <x:f>IF(E549="Concluído","Concluído",IF(A549&lt;TODAY(),"Atrasado",IF(A549=TODAY(),"Hoje","Futuro")))</x:f>
        <x:v>Futuro</x:v>
      </x:c>
      <x:c r="J549" s="43" t="n">
        <x:f>IF(OR(E549="Concluído",A549&gt;=TODAY()),0,TODAY()-A549)</x:f>
        <x:v>0</x:v>
      </x:c>
      <x:c r="K549" s="40" t="str"/>
    </x:row>
    <x:row r="550">
      <x:c r="A550" s="34" t="n">
        <x:v>46350</x:v>
      </x:c>
      <x:c r="B550" s="40" t="str">
        <x:v>Atualidades e Inteligência Artificial</x:v>
      </x:c>
      <x:c r="C550" s="40" t="str">
        <x:v>15 - Regressão Logistica</x:v>
      </x:c>
      <x:c r="D550" s="40" t="str">
        <x:v>Videoaula</x:v>
      </x:c>
      <x:c r="E550" s="40" t="str">
        <x:v>Não iniciado</x:v>
      </x:c>
      <x:c r="F550" s="41" t="str"/>
      <x:c r="G550" s="42" t="str"/>
      <x:c r="H550" s="40" t="str">
        <x:v>Normal</x:v>
      </x:c>
      <x:c r="I550" s="40" t="str">
        <x:f>IF(E550="Concluído","Concluído",IF(A550&lt;TODAY(),"Atrasado",IF(A550=TODAY(),"Hoje","Futuro")))</x:f>
        <x:v>Futuro</x:v>
      </x:c>
      <x:c r="J550" s="43" t="n">
        <x:f>IF(OR(E550="Concluído",A550&gt;=TODAY()),0,TODAY()-A550)</x:f>
        <x:v>0</x:v>
      </x:c>
      <x:c r="K550" s="40" t="str"/>
    </x:row>
    <x:row r="551">
      <x:c r="A551" s="34" t="n">
        <x:v>46350</x:v>
      </x:c>
      <x:c r="B551" s="40" t="str">
        <x:v>Atualidades e Inteligência Artificial</x:v>
      </x:c>
      <x:c r="C551" s="40" t="str">
        <x:v>16 - K - NN</x:v>
      </x:c>
      <x:c r="D551" s="40" t="str">
        <x:v>Videoaula</x:v>
      </x:c>
      <x:c r="E551" s="40" t="str">
        <x:v>Não iniciado</x:v>
      </x:c>
      <x:c r="F551" s="41" t="str"/>
      <x:c r="G551" s="42" t="str"/>
      <x:c r="H551" s="40" t="str">
        <x:v>Normal</x:v>
      </x:c>
      <x:c r="I551" s="40" t="str">
        <x:f>IF(E551="Concluído","Concluído",IF(A551&lt;TODAY(),"Atrasado",IF(A551=TODAY(),"Hoje","Futuro")))</x:f>
        <x:v>Futuro</x:v>
      </x:c>
      <x:c r="J551" s="43" t="n">
        <x:f>IF(OR(E551="Concluído",A551&gt;=TODAY()),0,TODAY()-A551)</x:f>
        <x:v>0</x:v>
      </x:c>
      <x:c r="K551" s="40" t="str"/>
    </x:row>
    <x:row r="552">
      <x:c r="A552" s="34" t="n">
        <x:v>46350</x:v>
      </x:c>
      <x:c r="B552" s="40" t="str">
        <x:v>Legislação Acerca de Segurança da Informação e Proteção de Dados</x:v>
      </x:c>
      <x:c r="C552" s="40" t="str">
        <x:v>25 - Lei nº 13.709/2018 - Lei Geral de Proteção de Dados Pessoais - LGPD XXV</x:v>
      </x:c>
      <x:c r="D552" s="40" t="str">
        <x:v>Videoaula</x:v>
      </x:c>
      <x:c r="E552" s="40" t="str">
        <x:v>Não iniciado</x:v>
      </x:c>
      <x:c r="F552" s="41" t="str"/>
      <x:c r="G552" s="42" t="str"/>
      <x:c r="H552" s="40" t="str">
        <x:v>Normal</x:v>
      </x:c>
      <x:c r="I552" s="40" t="str">
        <x:f>IF(E552="Concluído","Concluído",IF(A552&lt;TODAY(),"Atrasado",IF(A552=TODAY(),"Hoje","Futuro")))</x:f>
        <x:v>Futuro</x:v>
      </x:c>
      <x:c r="J552" s="43" t="n">
        <x:f>IF(OR(E552="Concluído",A552&gt;=TODAY()),0,TODAY()-A552)</x:f>
        <x:v>0</x:v>
      </x:c>
      <x:c r="K552" s="40" t="str"/>
    </x:row>
    <x:row r="553">
      <x:c r="A553" s="34" t="n">
        <x:v>46350</x:v>
      </x:c>
      <x:c r="B553" s="40" t="str">
        <x:v>Legislação Acerca de Segurança da Informação e Proteção de Dados</x:v>
      </x:c>
      <x:c r="C553" s="40" t="str">
        <x:v>26 - Lei nº 13.709/2018 - Lei Geral de Proteção de Dados Pessoais - LGPD XXVI</x:v>
      </x:c>
      <x:c r="D553" s="40" t="str">
        <x:v>Videoaula</x:v>
      </x:c>
      <x:c r="E553" s="40" t="str">
        <x:v>Não iniciado</x:v>
      </x:c>
      <x:c r="F553" s="41" t="str"/>
      <x:c r="G553" s="42" t="str"/>
      <x:c r="H553" s="40" t="str">
        <x:v>Normal</x:v>
      </x:c>
      <x:c r="I553" s="40" t="str">
        <x:f>IF(E553="Concluído","Concluído",IF(A553&lt;TODAY(),"Atrasado",IF(A553=TODAY(),"Hoje","Futuro")))</x:f>
        <x:v>Futuro</x:v>
      </x:c>
      <x:c r="J553" s="43" t="n">
        <x:f>IF(OR(E553="Concluído",A553&gt;=TODAY()),0,TODAY()-A553)</x:f>
        <x:v>0</x:v>
      </x:c>
      <x:c r="K553" s="40" t="str"/>
    </x:row>
    <x:row r="554">
      <x:c r="A554" s="34" t="n">
        <x:v>46350</x:v>
      </x:c>
      <x:c r="B554" s="40" t="str">
        <x:v>Gestão e Governança de Tecnologia da Informação</x:v>
      </x:c>
      <x:c r="C554" s="40" t="str">
        <x:v>14 - Gestão de Projetos - PMBOK 7ª Edição - Domínio de Desempenho da Abordagem de Desenvolvimento e do Ciclo de Vida II</x:v>
      </x:c>
      <x:c r="D554" s="40" t="str">
        <x:v>Videoaula</x:v>
      </x:c>
      <x:c r="E554" s="40" t="str">
        <x:v>Não iniciado</x:v>
      </x:c>
      <x:c r="F554" s="41" t="str"/>
      <x:c r="G554" s="42" t="str"/>
      <x:c r="H554" s="40" t="str">
        <x:v>Normal</x:v>
      </x:c>
      <x:c r="I554" s="40" t="str">
        <x:f>IF(E554="Concluído","Concluído",IF(A554&lt;TODAY(),"Atrasado",IF(A554=TODAY(),"Hoje","Futuro")))</x:f>
        <x:v>Futuro</x:v>
      </x:c>
      <x:c r="J554" s="43" t="n">
        <x:f>IF(OR(E554="Concluído",A554&gt;=TODAY()),0,TODAY()-A554)</x:f>
        <x:v>0</x:v>
      </x:c>
      <x:c r="K554" s="40" t="str"/>
    </x:row>
    <x:row r="555">
      <x:c r="A555" s="34" t="n">
        <x:v>46350</x:v>
      </x:c>
      <x:c r="B555" s="40" t="str">
        <x:v>Gestão e Governança de Tecnologia da Informação</x:v>
      </x:c>
      <x:c r="C555" s="40" t="str">
        <x:v>15 - Gestão de Projetos - PMBOK 7ª Edição - Domínio de Desempenho da Abordagem de Desenvolvimento e do Ciclo de Vida III</x:v>
      </x:c>
      <x:c r="D555" s="40" t="str">
        <x:v>Videoaula</x:v>
      </x:c>
      <x:c r="E555" s="40" t="str">
        <x:v>Não iniciado</x:v>
      </x:c>
      <x:c r="F555" s="41" t="str"/>
      <x:c r="G555" s="42" t="str"/>
      <x:c r="H555" s="40" t="str">
        <x:v>Normal</x:v>
      </x:c>
      <x:c r="I555" s="40" t="str">
        <x:f>IF(E555="Concluído","Concluído",IF(A555&lt;TODAY(),"Atrasado",IF(A555=TODAY(),"Hoje","Futuro")))</x:f>
        <x:v>Futuro</x:v>
      </x:c>
      <x:c r="J555" s="43" t="n">
        <x:f>IF(OR(E555="Concluído",A555&gt;=TODAY()),0,TODAY()-A555)</x:f>
        <x:v>0</x:v>
      </x:c>
      <x:c r="K555" s="40" t="str"/>
    </x:row>
    <x:row r="556">
      <x:c r="A556" s="34" t="n">
        <x:v>46350</x:v>
      </x:c>
      <x:c r="B556" s="40" t="str">
        <x:v>Língua Portuguesa</x:v>
      </x:c>
      <x:c r="C556" s="40" t="str">
        <x:v>1 - Concordância, Regência, Colocação, Crase e Pontuação</x:v>
      </x:c>
      <x:c r="D556" s="40" t="str">
        <x:v>Pdf</x:v>
      </x:c>
      <x:c r="E556" s="40" t="str">
        <x:v>Não iniciado</x:v>
      </x:c>
      <x:c r="F556" s="41" t="str"/>
      <x:c r="G556" s="42" t="str"/>
      <x:c r="H556" s="40" t="str">
        <x:v>Normal</x:v>
      </x:c>
      <x:c r="I556" s="40" t="str">
        <x:f>IF(E556="Concluído","Concluído",IF(A556&lt;TODAY(),"Atrasado",IF(A556=TODAY(),"Hoje","Futuro")))</x:f>
        <x:v>Futuro</x:v>
      </x:c>
      <x:c r="J556" s="43" t="n">
        <x:f>IF(OR(E556="Concluído",A556&gt;=TODAY()),0,TODAY()-A556)</x:f>
        <x:v>0</x:v>
      </x:c>
      <x:c r="K556" s="40" t="str"/>
    </x:row>
    <x:row r="557">
      <x:c r="A557" s="34" t="n">
        <x:v>46351</x:v>
      </x:c>
      <x:c r="B557" s="40" t="str">
        <x:v>Língua Portuguesa</x:v>
      </x:c>
      <x:c r="C557" s="40" t="str">
        <x:v>1 - Concordância, Regência, Colocação, Crase e Pontuação</x:v>
      </x:c>
      <x:c r="D557" s="40" t="str">
        <x:v>Pdf</x:v>
      </x:c>
      <x:c r="E557" s="40" t="str">
        <x:v>Não iniciado</x:v>
      </x:c>
      <x:c r="F557" s="41" t="str"/>
      <x:c r="G557" s="42" t="str"/>
      <x:c r="H557" s="40" t="str">
        <x:v>Normal</x:v>
      </x:c>
      <x:c r="I557" s="40" t="str">
        <x:f>IF(E557="Concluído","Concluído",IF(A557&lt;TODAY(),"Atrasado",IF(A557=TODAY(),"Hoje","Futuro")))</x:f>
        <x:v>Futuro</x:v>
      </x:c>
      <x:c r="J557" s="43" t="n">
        <x:f>IF(OR(E557="Concluído",A557&gt;=TODAY()),0,TODAY()-A557)</x:f>
        <x:v>0</x:v>
      </x:c>
      <x:c r="K557" s="40" t="str"/>
    </x:row>
    <x:row r="558">
      <x:c r="A558" s="34" t="n">
        <x:v>46352</x:v>
      </x:c>
      <x:c r="B558" s="40" t="str">
        <x:v>Língua Portuguesa</x:v>
      </x:c>
      <x:c r="C558" s="40" t="str">
        <x:v>1 - Concordância, Regência, Colocação, Crase e Pontuação</x:v>
      </x:c>
      <x:c r="D558" s="40" t="str">
        <x:v>Pdf</x:v>
      </x:c>
      <x:c r="E558" s="40" t="str">
        <x:v>Não iniciado</x:v>
      </x:c>
      <x:c r="F558" s="41" t="str"/>
      <x:c r="G558" s="42" t="str"/>
      <x:c r="H558" s="40" t="str">
        <x:v>Normal</x:v>
      </x:c>
      <x:c r="I558" s="40" t="str">
        <x:f>IF(E558="Concluído","Concluído",IF(A558&lt;TODAY(),"Atrasado",IF(A558=TODAY(),"Hoje","Futuro")))</x:f>
        <x:v>Futuro</x:v>
      </x:c>
      <x:c r="J558" s="43" t="n">
        <x:f>IF(OR(E558="Concluído",A558&gt;=TODAY()),0,TODAY()-A558)</x:f>
        <x:v>0</x:v>
      </x:c>
      <x:c r="K558" s="40" t="str"/>
    </x:row>
    <x:row r="559">
      <x:c r="A559" s="34" t="n">
        <x:v>46352</x:v>
      </x:c>
      <x:c r="B559" s="40" t="str">
        <x:v>Inteligência Emocional</x:v>
      </x:c>
      <x:c r="C559" s="40" t="str">
        <x:v>24 - ELO 24: Estresse, Cansaço e Burnout nos Estudos</x:v>
      </x:c>
      <x:c r="D559" s="40" t="str">
        <x:v>Pdf</x:v>
      </x:c>
      <x:c r="E559" s="40" t="str">
        <x:v>Não iniciado</x:v>
      </x:c>
      <x:c r="F559" s="41" t="str"/>
      <x:c r="G559" s="42" t="str"/>
      <x:c r="H559" s="40" t="str">
        <x:v>Normal</x:v>
      </x:c>
      <x:c r="I559" s="40" t="str">
        <x:f>IF(E559="Concluído","Concluído",IF(A559&lt;TODAY(),"Atrasado",IF(A559=TODAY(),"Hoje","Futuro")))</x:f>
        <x:v>Futuro</x:v>
      </x:c>
      <x:c r="J559" s="43" t="n">
        <x:f>IF(OR(E559="Concluído",A559&gt;=TODAY()),0,TODAY()-A559)</x:f>
        <x:v>0</x:v>
      </x:c>
      <x:c r="K559" s="40" t="str"/>
    </x:row>
    <x:row r="560">
      <x:c r="A560" s="34" t="n">
        <x:v>46352</x:v>
      </x:c>
      <x:c r="B560" s="40" t="str">
        <x:v>Língua Portuguesa</x:v>
      </x:c>
      <x:c r="C560" s="40" t="str">
        <x:v>9 - Termos Relacionados a Nomes (Adjunto Adnominal X Predicativo do Objeto)</x:v>
      </x:c>
      <x:c r="D560" s="40" t="str">
        <x:v>Videoaula</x:v>
      </x:c>
      <x:c r="E560" s="40" t="str">
        <x:v>Não iniciado</x:v>
      </x:c>
      <x:c r="F560" s="41" t="str"/>
      <x:c r="G560" s="42" t="str"/>
      <x:c r="H560" s="40" t="str">
        <x:v>Normal</x:v>
      </x:c>
      <x:c r="I560" s="40" t="str">
        <x:f>IF(E560="Concluído","Concluído",IF(A560&lt;TODAY(),"Atrasado",IF(A560=TODAY(),"Hoje","Futuro")))</x:f>
        <x:v>Futuro</x:v>
      </x:c>
      <x:c r="J560" s="43" t="n">
        <x:f>IF(OR(E560="Concluído",A560&gt;=TODAY()),0,TODAY()-A560)</x:f>
        <x:v>0</x:v>
      </x:c>
      <x:c r="K560" s="40" t="str"/>
    </x:row>
    <x:row r="561">
      <x:c r="A561" s="34" t="n">
        <x:v>46353</x:v>
      </x:c>
      <x:c r="B561" s="40" t="str">
        <x:v>Língua Portuguesa</x:v>
      </x:c>
      <x:c r="C561" s="40" t="str">
        <x:v>9 - Termos Relacionados a Nomes (Adjunto Adnominal X Predicativo do Objeto)</x:v>
      </x:c>
      <x:c r="D561" s="40" t="str">
        <x:v>Videoaula</x:v>
      </x:c>
      <x:c r="E561" s="40" t="str">
        <x:v>Não iniciado</x:v>
      </x:c>
      <x:c r="F561" s="41" t="str"/>
      <x:c r="G561" s="42" t="str"/>
      <x:c r="H561" s="40" t="str">
        <x:v>Normal</x:v>
      </x:c>
      <x:c r="I561" s="40" t="str">
        <x:f>IF(E561="Concluído","Concluído",IF(A561&lt;TODAY(),"Atrasado",IF(A561=TODAY(),"Hoje","Futuro")))</x:f>
        <x:v>Futuro</x:v>
      </x:c>
      <x:c r="J561" s="43" t="n">
        <x:f>IF(OR(E561="Concluído",A561&gt;=TODAY()),0,TODAY()-A561)</x:f>
        <x:v>0</x:v>
      </x:c>
      <x:c r="K561" s="40" t="str"/>
    </x:row>
    <x:row r="562">
      <x:c r="A562" s="34" t="n">
        <x:v>46353</x:v>
      </x:c>
      <x:c r="B562" s="40" t="str">
        <x:v>Língua Portuguesa</x:v>
      </x:c>
      <x:c r="C562" s="40" t="str">
        <x:v>10 - Termos Relacionados a Nomes (Adjunto Adnominal X Complemento Nominal)</x:v>
      </x:c>
      <x:c r="D562" s="40" t="str">
        <x:v>Videoaula</x:v>
      </x:c>
      <x:c r="E562" s="40" t="str">
        <x:v>Não iniciado</x:v>
      </x:c>
      <x:c r="F562" s="41" t="str"/>
      <x:c r="G562" s="42" t="str"/>
      <x:c r="H562" s="40" t="str">
        <x:v>Normal</x:v>
      </x:c>
      <x:c r="I562" s="40" t="str">
        <x:f>IF(E562="Concluído","Concluído",IF(A562&lt;TODAY(),"Atrasado",IF(A562=TODAY(),"Hoje","Futuro")))</x:f>
        <x:v>Futuro</x:v>
      </x:c>
      <x:c r="J562" s="43" t="n">
        <x:f>IF(OR(E562="Concluído",A562&gt;=TODAY()),0,TODAY()-A562)</x:f>
        <x:v>0</x:v>
      </x:c>
      <x:c r="K562" s="40" t="str"/>
    </x:row>
    <x:row r="563">
      <x:c r="A563" s="34" t="n">
        <x:v>46353</x:v>
      </x:c>
      <x:c r="B563" s="40" t="str">
        <x:v>Língua Inglesa</x:v>
      </x:c>
      <x:c r="C563" s="40" t="str">
        <x:v>48 - Rare Earths</x:v>
      </x:c>
      <x:c r="D563" s="40" t="str">
        <x:v>Videoaula</x:v>
      </x:c>
      <x:c r="E563" s="40" t="str">
        <x:v>Não iniciado</x:v>
      </x:c>
      <x:c r="F563" s="41" t="str"/>
      <x:c r="G563" s="42" t="str"/>
      <x:c r="H563" s="40" t="str">
        <x:v>Normal</x:v>
      </x:c>
      <x:c r="I563" s="40" t="str">
        <x:f>IF(E563="Concluído","Concluído",IF(A563&lt;TODAY(),"Atrasado",IF(A563=TODAY(),"Hoje","Futuro")))</x:f>
        <x:v>Futuro</x:v>
      </x:c>
      <x:c r="J563" s="43" t="n">
        <x:f>IF(OR(E563="Concluído",A563&gt;=TODAY()),0,TODAY()-A563)</x:f>
        <x:v>0</x:v>
      </x:c>
      <x:c r="K563" s="40" t="str"/>
    </x:row>
    <x:row r="564">
      <x:c r="A564" s="34" t="n">
        <x:v>46353</x:v>
      </x:c>
      <x:c r="B564" s="40" t="str">
        <x:v>Língua Inglesa</x:v>
      </x:c>
      <x:c r="C564" s="40" t="str">
        <x:v>49 - Transition To Renewable Energy</x:v>
      </x:c>
      <x:c r="D564" s="40" t="str">
        <x:v>Videoaula</x:v>
      </x:c>
      <x:c r="E564" s="40" t="str">
        <x:v>Não iniciado</x:v>
      </x:c>
      <x:c r="F564" s="41" t="str"/>
      <x:c r="G564" s="42" t="str"/>
      <x:c r="H564" s="40" t="str">
        <x:v>Normal</x:v>
      </x:c>
      <x:c r="I564" s="40" t="str">
        <x:f>IF(E564="Concluído","Concluído",IF(A564&lt;TODAY(),"Atrasado",IF(A564=TODAY(),"Hoje","Futuro")))</x:f>
        <x:v>Futuro</x:v>
      </x:c>
      <x:c r="J564" s="43" t="n">
        <x:f>IF(OR(E564="Concluído",A564&gt;=TODAY()),0,TODAY()-A564)</x:f>
        <x:v>0</x:v>
      </x:c>
      <x:c r="K564" s="40" t="str"/>
    </x:row>
    <x:row r="565">
      <x:c r="A565" s="34" t="n">
        <x:v>46353</x:v>
      </x:c>
      <x:c r="B565" s="40" t="str">
        <x:v>Atualidades e Inteligência Artificial</x:v>
      </x:c>
      <x:c r="C565" s="40" t="str">
        <x:v>17 - Naive Bayes</x:v>
      </x:c>
      <x:c r="D565" s="40" t="str">
        <x:v>Videoaula</x:v>
      </x:c>
      <x:c r="E565" s="40" t="str">
        <x:v>Não iniciado</x:v>
      </x:c>
      <x:c r="F565" s="41" t="str"/>
      <x:c r="G565" s="42" t="str"/>
      <x:c r="H565" s="40" t="str">
        <x:v>Normal</x:v>
      </x:c>
      <x:c r="I565" s="40" t="str">
        <x:f>IF(E565="Concluído","Concluído",IF(A565&lt;TODAY(),"Atrasado",IF(A565=TODAY(),"Hoje","Futuro")))</x:f>
        <x:v>Futuro</x:v>
      </x:c>
      <x:c r="J565" s="43" t="n">
        <x:f>IF(OR(E565="Concluído",A565&gt;=TODAY()),0,TODAY()-A565)</x:f>
        <x:v>0</x:v>
      </x:c>
      <x:c r="K565" s="40" t="str"/>
    </x:row>
    <x:row r="566">
      <x:c r="A566" s="34" t="n">
        <x:v>46354</x:v>
      </x:c>
      <x:c r="B566" s="40" t="str">
        <x:v>Atualidades e Inteligência Artificial</x:v>
      </x:c>
      <x:c r="C566" s="40" t="str">
        <x:v>17 - Naive Bayes</x:v>
      </x:c>
      <x:c r="D566" s="40" t="str">
        <x:v>Videoaula</x:v>
      </x:c>
      <x:c r="E566" s="40" t="str">
        <x:v>Não iniciado</x:v>
      </x:c>
      <x:c r="F566" s="41" t="str"/>
      <x:c r="G566" s="42" t="str"/>
      <x:c r="H566" s="40" t="str">
        <x:v>Normal</x:v>
      </x:c>
      <x:c r="I566" s="40" t="str">
        <x:f>IF(E566="Concluído","Concluído",IF(A566&lt;TODAY(),"Atrasado",IF(A566=TODAY(),"Hoje","Futuro")))</x:f>
        <x:v>Futuro</x:v>
      </x:c>
      <x:c r="J566" s="43" t="n">
        <x:f>IF(OR(E566="Concluído",A566&gt;=TODAY()),0,TODAY()-A566)</x:f>
        <x:v>0</x:v>
      </x:c>
      <x:c r="K566" s="40" t="str"/>
    </x:row>
    <x:row r="567">
      <x:c r="A567" s="34" t="n">
        <x:v>46354</x:v>
      </x:c>
      <x:c r="B567" s="40" t="str">
        <x:v>Atualidades e Inteligência Artificial</x:v>
      </x:c>
      <x:c r="C567" s="40" t="str">
        <x:v>18 - SVM</x:v>
      </x:c>
      <x:c r="D567" s="40" t="str">
        <x:v>Videoaula</x:v>
      </x:c>
      <x:c r="E567" s="40" t="str">
        <x:v>Não iniciado</x:v>
      </x:c>
      <x:c r="F567" s="41" t="str"/>
      <x:c r="G567" s="42" t="str"/>
      <x:c r="H567" s="40" t="str">
        <x:v>Normal</x:v>
      </x:c>
      <x:c r="I567" s="40" t="str">
        <x:f>IF(E567="Concluído","Concluído",IF(A567&lt;TODAY(),"Atrasado",IF(A567=TODAY(),"Hoje","Futuro")))</x:f>
        <x:v>Futuro</x:v>
      </x:c>
      <x:c r="J567" s="43" t="n">
        <x:f>IF(OR(E567="Concluído",A567&gt;=TODAY()),0,TODAY()-A567)</x:f>
        <x:v>0</x:v>
      </x:c>
      <x:c r="K567" s="40" t="str"/>
    </x:row>
    <x:row r="568">
      <x:c r="A568" s="34" t="n">
        <x:v>46354</x:v>
      </x:c>
      <x:c r="B568" s="40" t="str">
        <x:v>Legislação Acerca de Segurança da Informação e Proteção de Dados</x:v>
      </x:c>
      <x:c r="C568" s="40" t="str">
        <x:v>27 - Lei nº 13.709/2018 - Lei Geral de Proteção de Dados Pessoais - LGPD XXVII</x:v>
      </x:c>
      <x:c r="D568" s="40" t="str">
        <x:v>Videoaula</x:v>
      </x:c>
      <x:c r="E568" s="40" t="str">
        <x:v>Não iniciado</x:v>
      </x:c>
      <x:c r="F568" s="41" t="str"/>
      <x:c r="G568" s="42" t="str"/>
      <x:c r="H568" s="40" t="str">
        <x:v>Normal</x:v>
      </x:c>
      <x:c r="I568" s="40" t="str">
        <x:f>IF(E568="Concluído","Concluído",IF(A568&lt;TODAY(),"Atrasado",IF(A568=TODAY(),"Hoje","Futuro")))</x:f>
        <x:v>Futuro</x:v>
      </x:c>
      <x:c r="J568" s="43" t="n">
        <x:f>IF(OR(E568="Concluído",A568&gt;=TODAY()),0,TODAY()-A568)</x:f>
        <x:v>0</x:v>
      </x:c>
      <x:c r="K568" s="40" t="str"/>
    </x:row>
    <x:row r="569">
      <x:c r="A569" s="34" t="n">
        <x:v>46354</x:v>
      </x:c>
      <x:c r="B569" s="40" t="str">
        <x:v>Gestão e Governança de Tecnologia da Informação</x:v>
      </x:c>
      <x:c r="C569" s="40" t="str">
        <x:v>16 - Gestão de Projetos - PMBOK 7ª Edição - Domínio de Desempenho da Abordagem de Desenvolvimento e do Ciclo de Vida IV</x:v>
      </x:c>
      <x:c r="D569" s="40" t="str">
        <x:v>Videoaula</x:v>
      </x:c>
      <x:c r="E569" s="40" t="str">
        <x:v>Não iniciado</x:v>
      </x:c>
      <x:c r="F569" s="41" t="str"/>
      <x:c r="G569" s="42" t="str"/>
      <x:c r="H569" s="40" t="str">
        <x:v>Normal</x:v>
      </x:c>
      <x:c r="I569" s="40" t="str">
        <x:f>IF(E569="Concluído","Concluído",IF(A569&lt;TODAY(),"Atrasado",IF(A569=TODAY(),"Hoje","Futuro")))</x:f>
        <x:v>Futuro</x:v>
      </x:c>
      <x:c r="J569" s="43" t="n">
        <x:f>IF(OR(E569="Concluído",A569&gt;=TODAY()),0,TODAY()-A569)</x:f>
        <x:v>0</x:v>
      </x:c>
      <x:c r="K569" s="40" t="str"/>
    </x:row>
    <x:row r="570">
      <x:c r="A570" s="34" t="n">
        <x:v>46354</x:v>
      </x:c>
      <x:c r="B570" s="40" t="str">
        <x:v>Gestão e Governança de Tecnologia da Informação</x:v>
      </x:c>
      <x:c r="C570" s="40" t="str">
        <x:v>17 - Gestão de Projetos - PMBOK 7ª Edição - Domínio de Desempenho da Abordagem de Desenvolvimento e do Ciclo de Vida V</x:v>
      </x:c>
      <x:c r="D570" s="40" t="str">
        <x:v>Videoaula</x:v>
      </x:c>
      <x:c r="E570" s="40" t="str">
        <x:v>Não iniciado</x:v>
      </x:c>
      <x:c r="F570" s="41" t="str"/>
      <x:c r="G570" s="42" t="str"/>
      <x:c r="H570" s="40" t="str">
        <x:v>Normal</x:v>
      </x:c>
      <x:c r="I570" s="40" t="str">
        <x:f>IF(E570="Concluído","Concluído",IF(A570&lt;TODAY(),"Atrasado",IF(A570=TODAY(),"Hoje","Futuro")))</x:f>
        <x:v>Futuro</x:v>
      </x:c>
      <x:c r="J570" s="43" t="n">
        <x:f>IF(OR(E570="Concluído",A570&gt;=TODAY()),0,TODAY()-A570)</x:f>
        <x:v>0</x:v>
      </x:c>
      <x:c r="K570" s="40" t="str"/>
    </x:row>
    <x:row r="571">
      <x:c r="A571" s="34" t="n">
        <x:v>46354</x:v>
      </x:c>
      <x:c r="B571" s="40" t="str">
        <x:v>Língua Portuguesa</x:v>
      </x:c>
      <x:c r="C571" s="40" t="str">
        <x:v>2 - Sintaxe de Concordância, de Regência e de Colocação</x:v>
      </x:c>
      <x:c r="D571" s="40" t="str">
        <x:v>Pdf</x:v>
      </x:c>
      <x:c r="E571" s="40" t="str">
        <x:v>Não iniciado</x:v>
      </x:c>
      <x:c r="F571" s="41" t="str"/>
      <x:c r="G571" s="42" t="str"/>
      <x:c r="H571" s="40" t="str">
        <x:v>Normal</x:v>
      </x:c>
      <x:c r="I571" s="40" t="str">
        <x:f>IF(E571="Concluído","Concluído",IF(A571&lt;TODAY(),"Atrasado",IF(A571=TODAY(),"Hoje","Futuro")))</x:f>
        <x:v>Futuro</x:v>
      </x:c>
      <x:c r="J571" s="43" t="n">
        <x:f>IF(OR(E571="Concluído",A571&gt;=TODAY()),0,TODAY()-A571)</x:f>
        <x:v>0</x:v>
      </x:c>
      <x:c r="K571" s="40" t="str"/>
    </x:row>
    <x:row r="572">
      <x:c r="A572" s="34" t="n">
        <x:v>46355</x:v>
      </x:c>
      <x:c r="B572" s="40" t="str">
        <x:v>Língua Portuguesa</x:v>
      </x:c>
      <x:c r="C572" s="40" t="str">
        <x:v>2 - Sintaxe de Concordância, de Regência e de Colocação</x:v>
      </x:c>
      <x:c r="D572" s="40" t="str">
        <x:v>Pdf</x:v>
      </x:c>
      <x:c r="E572" s="40" t="str">
        <x:v>Não iniciado</x:v>
      </x:c>
      <x:c r="F572" s="41" t="str"/>
      <x:c r="G572" s="42" t="str"/>
      <x:c r="H572" s="40" t="str">
        <x:v>Normal</x:v>
      </x:c>
      <x:c r="I572" s="40" t="str">
        <x:f>IF(E572="Concluído","Concluído",IF(A572&lt;TODAY(),"Atrasado",IF(A572=TODAY(),"Hoje","Futuro")))</x:f>
        <x:v>Futuro</x:v>
      </x:c>
      <x:c r="J572" s="43" t="n">
        <x:f>IF(OR(E572="Concluído",A572&gt;=TODAY()),0,TODAY()-A572)</x:f>
        <x:v>0</x:v>
      </x:c>
      <x:c r="K572" s="40" t="str"/>
    </x:row>
    <x:row r="573">
      <x:c r="A573" s="34" t="n">
        <x:v>46355</x:v>
      </x:c>
      <x:c r="B573" s="40" t="str">
        <x:v>Inteligência Emocional</x:v>
      </x:c>
      <x:c r="C573" s="40" t="str">
        <x:v>25 - ELO 25: Fracasso, Derrota e Fases das Perdas</x:v>
      </x:c>
      <x:c r="D573" s="40" t="str">
        <x:v>Pdf</x:v>
      </x:c>
      <x:c r="E573" s="40" t="str">
        <x:v>Não iniciado</x:v>
      </x:c>
      <x:c r="F573" s="41" t="str"/>
      <x:c r="G573" s="42" t="str"/>
      <x:c r="H573" s="40" t="str">
        <x:v>Normal</x:v>
      </x:c>
      <x:c r="I573" s="40" t="str">
        <x:f>IF(E573="Concluído","Concluído",IF(A573&lt;TODAY(),"Atrasado",IF(A573=TODAY(),"Hoje","Futuro")))</x:f>
        <x:v>Futuro</x:v>
      </x:c>
      <x:c r="J573" s="43" t="n">
        <x:f>IF(OR(E573="Concluído",A573&gt;=TODAY()),0,TODAY()-A573)</x:f>
        <x:v>0</x:v>
      </x:c>
      <x:c r="K573" s="40" t="str"/>
    </x:row>
    <x:row r="574">
      <x:c r="A574" s="34" t="n">
        <x:v>46355</x:v>
      </x:c>
      <x:c r="B574" s="40" t="str">
        <x:v>Língua Portuguesa</x:v>
      </x:c>
      <x:c r="C574" s="40" t="str">
        <x:v>11 - Termos Relacionados a Nomes (Adjunto Adnominal X Complemento Nominal) II</x:v>
      </x:c>
      <x:c r="D574" s="40" t="str">
        <x:v>Videoaula</x:v>
      </x:c>
      <x:c r="E574" s="40" t="str">
        <x:v>Não iniciado</x:v>
      </x:c>
      <x:c r="F574" s="41" t="str"/>
      <x:c r="G574" s="42" t="str"/>
      <x:c r="H574" s="40" t="str">
        <x:v>Normal</x:v>
      </x:c>
      <x:c r="I574" s="40" t="str">
        <x:f>IF(E574="Concluído","Concluído",IF(A574&lt;TODAY(),"Atrasado",IF(A574=TODAY(),"Hoje","Futuro")))</x:f>
        <x:v>Futuro</x:v>
      </x:c>
      <x:c r="J574" s="43" t="n">
        <x:f>IF(OR(E574="Concluído",A574&gt;=TODAY()),0,TODAY()-A574)</x:f>
        <x:v>0</x:v>
      </x:c>
      <x:c r="K574" s="40" t="str"/>
    </x:row>
    <x:row r="575">
      <x:c r="A575" s="34" t="n">
        <x:v>46355</x:v>
      </x:c>
      <x:c r="B575" s="40" t="str">
        <x:v>Língua Portuguesa</x:v>
      </x:c>
      <x:c r="C575" s="40" t="str">
        <x:v>12 - Termos Relacionados a Nomes - Exercícios</x:v>
      </x:c>
      <x:c r="D575" s="40" t="str">
        <x:v>Videoaula</x:v>
      </x:c>
      <x:c r="E575" s="40" t="str">
        <x:v>Não iniciado</x:v>
      </x:c>
      <x:c r="F575" s="41" t="str"/>
      <x:c r="G575" s="42" t="str"/>
      <x:c r="H575" s="40" t="str">
        <x:v>Normal</x:v>
      </x:c>
      <x:c r="I575" s="40" t="str">
        <x:f>IF(E575="Concluído","Concluído",IF(A575&lt;TODAY(),"Atrasado",IF(A575=TODAY(),"Hoje","Futuro")))</x:f>
        <x:v>Futuro</x:v>
      </x:c>
      <x:c r="J575" s="43" t="n">
        <x:f>IF(OR(E575="Concluído",A575&gt;=TODAY()),0,TODAY()-A575)</x:f>
        <x:v>0</x:v>
      </x:c>
      <x:c r="K575" s="40" t="str"/>
    </x:row>
    <x:row r="576">
      <x:c r="A576" s="34" t="n">
        <x:v>46355</x:v>
      </x:c>
      <x:c r="B576" s="40" t="str">
        <x:v>Revisão</x:v>
      </x:c>
      <x:c r="C576" s="40" t="str">
        <x:v>Revisão</x:v>
      </x:c>
      <x:c r="D576" s="40" t="str">
        <x:v>Revisao</x:v>
      </x:c>
      <x:c r="E576" s="40" t="str">
        <x:v>Não iniciado</x:v>
      </x:c>
      <x:c r="F576" s="41" t="str"/>
      <x:c r="G576" s="42" t="str"/>
      <x:c r="H576" s="40" t="str">
        <x:v>Normal</x:v>
      </x:c>
      <x:c r="I576" s="40" t="str">
        <x:f>IF(E576="Concluído","Concluído",IF(A576&lt;TODAY(),"Atrasado",IF(A576=TODAY(),"Hoje","Futuro")))</x:f>
        <x:v>Futuro</x:v>
      </x:c>
      <x:c r="J576" s="43" t="n">
        <x:f>IF(OR(E576="Concluído",A576&gt;=TODAY()),0,TODAY()-A576)</x:f>
        <x:v>0</x:v>
      </x:c>
      <x:c r="K576" s="40" t="str"/>
    </x:row>
    <x:row r="577">
      <x:c r="A577" s="34" t="n">
        <x:v>46356</x:v>
      </x:c>
      <x:c r="B577" s="40" t="str">
        <x:v>Língua Inglesa</x:v>
      </x:c>
      <x:c r="C577" s="40" t="str">
        <x:v>1 - Língua Inglesa - Alma e Perfil da Prova de Inglês</x:v>
      </x:c>
      <x:c r="D577" s="40" t="str">
        <x:v>Videoaula</x:v>
      </x:c>
      <x:c r="E577" s="40" t="str">
        <x:v>Não iniciado</x:v>
      </x:c>
      <x:c r="F577" s="41" t="str"/>
      <x:c r="G577" s="42" t="str"/>
      <x:c r="H577" s="40" t="str">
        <x:v>Normal</x:v>
      </x:c>
      <x:c r="I577" s="40" t="str">
        <x:f>IF(E577="Concluído","Concluído",IF(A577&lt;TODAY(),"Atrasado",IF(A577=TODAY(),"Hoje","Futuro")))</x:f>
        <x:v>Futuro</x:v>
      </x:c>
      <x:c r="J577" s="43" t="n">
        <x:f>IF(OR(E577="Concluído",A577&gt;=TODAY()),0,TODAY()-A577)</x:f>
        <x:v>0</x:v>
      </x:c>
      <x:c r="K577" s="40" t="str"/>
    </x:row>
    <x:row r="578">
      <x:c r="A578" s="34" t="n">
        <x:v>46356</x:v>
      </x:c>
      <x:c r="B578" s="40" t="str">
        <x:v>Língua Inglesa</x:v>
      </x:c>
      <x:c r="C578" s="40" t="str">
        <x:v>2 - Língua Inglesa - Como Estudar Inglês e Resolver a Prova</x:v>
      </x:c>
      <x:c r="D578" s="40" t="str">
        <x:v>Videoaula</x:v>
      </x:c>
      <x:c r="E578" s="40" t="str">
        <x:v>Não iniciado</x:v>
      </x:c>
      <x:c r="F578" s="41" t="str"/>
      <x:c r="G578" s="42" t="str"/>
      <x:c r="H578" s="40" t="str">
        <x:v>Normal</x:v>
      </x:c>
      <x:c r="I578" s="40" t="str">
        <x:f>IF(E578="Concluído","Concluído",IF(A578&lt;TODAY(),"Atrasado",IF(A578=TODAY(),"Hoje","Futuro")))</x:f>
        <x:v>Futuro</x:v>
      </x:c>
      <x:c r="J578" s="43" t="n">
        <x:f>IF(OR(E578="Concluído",A578&gt;=TODAY()),0,TODAY()-A578)</x:f>
        <x:v>0</x:v>
      </x:c>
      <x:c r="K578" s="40" t="str"/>
    </x:row>
    <x:row r="579">
      <x:c r="A579" s="34" t="n">
        <x:v>46356</x:v>
      </x:c>
      <x:c r="B579" s="40" t="str">
        <x:v>Atualidades e Inteligência Artificial</x:v>
      </x:c>
      <x:c r="C579" s="40" t="str">
        <x:v>19 - Redes Neurais Artificiais</x:v>
      </x:c>
      <x:c r="D579" s="40" t="str">
        <x:v>Videoaula</x:v>
      </x:c>
      <x:c r="E579" s="40" t="str">
        <x:v>Não iniciado</x:v>
      </x:c>
      <x:c r="F579" s="41" t="str"/>
      <x:c r="G579" s="42" t="str"/>
      <x:c r="H579" s="40" t="str">
        <x:v>Normal</x:v>
      </x:c>
      <x:c r="I579" s="40" t="str">
        <x:f>IF(E579="Concluído","Concluído",IF(A579&lt;TODAY(),"Atrasado",IF(A579=TODAY(),"Hoje","Futuro")))</x:f>
        <x:v>Futuro</x:v>
      </x:c>
      <x:c r="J579" s="43" t="n">
        <x:f>IF(OR(E579="Concluído",A579&gt;=TODAY()),0,TODAY()-A579)</x:f>
        <x:v>0</x:v>
      </x:c>
      <x:c r="K579" s="40" t="str"/>
    </x:row>
    <x:row r="580">
      <x:c r="A580" s="34" t="n">
        <x:v>46356</x:v>
      </x:c>
      <x:c r="B580" s="40" t="str">
        <x:v>Atualidades e Inteligência Artificial</x:v>
      </x:c>
      <x:c r="C580" s="40" t="str">
        <x:v>20 - Regressão Linear</x:v>
      </x:c>
      <x:c r="D580" s="40" t="str">
        <x:v>Videoaula</x:v>
      </x:c>
      <x:c r="E580" s="40" t="str">
        <x:v>Não iniciado</x:v>
      </x:c>
      <x:c r="F580" s="41" t="str"/>
      <x:c r="G580" s="42" t="str"/>
      <x:c r="H580" s="40" t="str">
        <x:v>Normal</x:v>
      </x:c>
      <x:c r="I580" s="40" t="str">
        <x:f>IF(E580="Concluído","Concluído",IF(A580&lt;TODAY(),"Atrasado",IF(A580=TODAY(),"Hoje","Futuro")))</x:f>
        <x:v>Futuro</x:v>
      </x:c>
      <x:c r="J580" s="43" t="n">
        <x:f>IF(OR(E580="Concluído",A580&gt;=TODAY()),0,TODAY()-A580)</x:f>
        <x:v>0</x:v>
      </x:c>
      <x:c r="K580" s="40" t="str"/>
    </x:row>
    <x:row r="581">
      <x:c r="A581" s="34" t="n">
        <x:v>46357</x:v>
      </x:c>
      <x:c r="B581" s="40" t="str">
        <x:v>Gestão e Governança de Tecnologia da Informação</x:v>
      </x:c>
      <x:c r="C581" s="40" t="str">
        <x:v>18 - Gestão de Projetos - PMBOK 7ª Edição - Domínio de Desempenho do Planejamento</x:v>
      </x:c>
      <x:c r="D581" s="40" t="str">
        <x:v>Videoaula</x:v>
      </x:c>
      <x:c r="E581" s="40" t="str">
        <x:v>Não iniciado</x:v>
      </x:c>
      <x:c r="F581" s="41" t="str"/>
      <x:c r="G581" s="42" t="str"/>
      <x:c r="H581" s="40" t="str">
        <x:v>Normal</x:v>
      </x:c>
      <x:c r="I581" s="40" t="str">
        <x:f>IF(E581="Concluído","Concluído",IF(A581&lt;TODAY(),"Atrasado",IF(A581=TODAY(),"Hoje","Futuro")))</x:f>
        <x:v>Futuro</x:v>
      </x:c>
      <x:c r="J581" s="43" t="n">
        <x:f>IF(OR(E581="Concluído",A581&gt;=TODAY()),0,TODAY()-A581)</x:f>
        <x:v>0</x:v>
      </x:c>
      <x:c r="K581" s="40" t="str"/>
    </x:row>
    <x:row r="582">
      <x:c r="A582" s="34" t="n">
        <x:v>46357</x:v>
      </x:c>
      <x:c r="B582" s="40" t="str">
        <x:v>Gestão e Governança de Tecnologia da Informação</x:v>
      </x:c>
      <x:c r="C582" s="40" t="str">
        <x:v>19 - Gestão de Projetos - PMBOK 7ª Edição - Domínio de Desempenho do Planejamento II</x:v>
      </x:c>
      <x:c r="D582" s="40" t="str">
        <x:v>Videoaula</x:v>
      </x:c>
      <x:c r="E582" s="40" t="str">
        <x:v>Não iniciado</x:v>
      </x:c>
      <x:c r="F582" s="41" t="str"/>
      <x:c r="G582" s="42" t="str"/>
      <x:c r="H582" s="40" t="str">
        <x:v>Normal</x:v>
      </x:c>
      <x:c r="I582" s="40" t="str">
        <x:f>IF(E582="Concluído","Concluído",IF(A582&lt;TODAY(),"Atrasado",IF(A582=TODAY(),"Hoje","Futuro")))</x:f>
        <x:v>Futuro</x:v>
      </x:c>
      <x:c r="J582" s="43" t="n">
        <x:f>IF(OR(E582="Concluído",A582&gt;=TODAY()),0,TODAY()-A582)</x:f>
        <x:v>0</x:v>
      </x:c>
      <x:c r="K582" s="40" t="str"/>
    </x:row>
    <x:row r="583">
      <x:c r="A583" s="34" t="n">
        <x:v>46357</x:v>
      </x:c>
      <x:c r="B583" s="40" t="str">
        <x:v>Língua Portuguesa</x:v>
      </x:c>
      <x:c r="C583" s="40" t="str">
        <x:v>3 - Emprego do Sinal Indicativo de Crase</x:v>
      </x:c>
      <x:c r="D583" s="40" t="str">
        <x:v>Pdf</x:v>
      </x:c>
      <x:c r="E583" s="40" t="str">
        <x:v>Não iniciado</x:v>
      </x:c>
      <x:c r="F583" s="41" t="str"/>
      <x:c r="G583" s="42" t="str"/>
      <x:c r="H583" s="40" t="str">
        <x:v>Normal</x:v>
      </x:c>
      <x:c r="I583" s="40" t="str">
        <x:f>IF(E583="Concluído","Concluído",IF(A583&lt;TODAY(),"Atrasado",IF(A583=TODAY(),"Hoje","Futuro")))</x:f>
        <x:v>Futuro</x:v>
      </x:c>
      <x:c r="J583" s="43" t="n">
        <x:f>IF(OR(E583="Concluído",A583&gt;=TODAY()),0,TODAY()-A583)</x:f>
        <x:v>0</x:v>
      </x:c>
      <x:c r="K583" s="40" t="str"/>
    </x:row>
    <x:row r="584">
      <x:c r="A584" s="34" t="n">
        <x:v>46357</x:v>
      </x:c>
      <x:c r="B584" s="40" t="str">
        <x:v>Inteligência Emocional</x:v>
      </x:c>
      <x:c r="C584" s="40" t="str">
        <x:v>26 - ELO 26: Família Disfuncional e o Concurseiro</x:v>
      </x:c>
      <x:c r="D584" s="40" t="str">
        <x:v>Pdf</x:v>
      </x:c>
      <x:c r="E584" s="40" t="str">
        <x:v>Não iniciado</x:v>
      </x:c>
      <x:c r="F584" s="41" t="str"/>
      <x:c r="G584" s="42" t="str"/>
      <x:c r="H584" s="40" t="str">
        <x:v>Normal</x:v>
      </x:c>
      <x:c r="I584" s="40" t="str">
        <x:f>IF(E584="Concluído","Concluído",IF(A584&lt;TODAY(),"Atrasado",IF(A584=TODAY(),"Hoje","Futuro")))</x:f>
        <x:v>Futuro</x:v>
      </x:c>
      <x:c r="J584" s="43" t="n">
        <x:f>IF(OR(E584="Concluído",A584&gt;=TODAY()),0,TODAY()-A584)</x:f>
        <x:v>0</x:v>
      </x:c>
      <x:c r="K584" s="40" t="str"/>
    </x:row>
    <x:row r="585">
      <x:c r="A585" s="34" t="n">
        <x:v>46358</x:v>
      </x:c>
      <x:c r="B585" s="40" t="str">
        <x:v>Inteligência Emocional</x:v>
      </x:c>
      <x:c r="C585" s="40" t="str">
        <x:v>26 - ELO 26: Família Disfuncional e o Concurseiro</x:v>
      </x:c>
      <x:c r="D585" s="40" t="str">
        <x:v>Pdf</x:v>
      </x:c>
      <x:c r="E585" s="40" t="str">
        <x:v>Não iniciado</x:v>
      </x:c>
      <x:c r="F585" s="41" t="str"/>
      <x:c r="G585" s="42" t="str"/>
      <x:c r="H585" s="40" t="str">
        <x:v>Normal</x:v>
      </x:c>
      <x:c r="I585" s="40" t="str">
        <x:f>IF(E585="Concluído","Concluído",IF(A585&lt;TODAY(),"Atrasado",IF(A585=TODAY(),"Hoje","Futuro")))</x:f>
        <x:v>Futuro</x:v>
      </x:c>
      <x:c r="J585" s="43" t="n">
        <x:f>IF(OR(E585="Concluído",A585&gt;=TODAY()),0,TODAY()-A585)</x:f>
        <x:v>0</x:v>
      </x:c>
      <x:c r="K585" s="40" t="str"/>
    </x:row>
    <x:row r="586">
      <x:c r="A586" s="34" t="n">
        <x:v>46358</x:v>
      </x:c>
      <x:c r="B586" s="40" t="str">
        <x:v>Língua Portuguesa</x:v>
      </x:c>
      <x:c r="C586" s="40" t="str">
        <x:v>1 - Período Composto - Introdução</x:v>
      </x:c>
      <x:c r="D586" s="40" t="str">
        <x:v>Videoaula</x:v>
      </x:c>
      <x:c r="E586" s="40" t="str">
        <x:v>Não iniciado</x:v>
      </x:c>
      <x:c r="F586" s="41" t="str"/>
      <x:c r="G586" s="42" t="str"/>
      <x:c r="H586" s="40" t="str">
        <x:v>Normal</x:v>
      </x:c>
      <x:c r="I586" s="40" t="str">
        <x:f>IF(E586="Concluído","Concluído",IF(A586&lt;TODAY(),"Atrasado",IF(A586=TODAY(),"Hoje","Futuro")))</x:f>
        <x:v>Futuro</x:v>
      </x:c>
      <x:c r="J586" s="43" t="n">
        <x:f>IF(OR(E586="Concluído",A586&gt;=TODAY()),0,TODAY()-A586)</x:f>
        <x:v>0</x:v>
      </x:c>
      <x:c r="K586" s="40" t="str"/>
    </x:row>
    <x:row r="587">
      <x:c r="A587" s="34" t="n">
        <x:v>46358</x:v>
      </x:c>
      <x:c r="B587" s="40" t="str">
        <x:v>Língua Portuguesa</x:v>
      </x:c>
      <x:c r="C587" s="40" t="str">
        <x:v>2 - Orações Subordinadas Adjetivas - Pronome Relativo "Que"</x:v>
      </x:c>
      <x:c r="D587" s="40" t="str">
        <x:v>Videoaula</x:v>
      </x:c>
      <x:c r="E587" s="40" t="str">
        <x:v>Não iniciado</x:v>
      </x:c>
      <x:c r="F587" s="41" t="str"/>
      <x:c r="G587" s="42" t="str"/>
      <x:c r="H587" s="40" t="str">
        <x:v>Normal</x:v>
      </x:c>
      <x:c r="I587" s="40" t="str">
        <x:f>IF(E587="Concluído","Concluído",IF(A587&lt;TODAY(),"Atrasado",IF(A587=TODAY(),"Hoje","Futuro")))</x:f>
        <x:v>Futuro</x:v>
      </x:c>
      <x:c r="J587" s="43" t="n">
        <x:f>IF(OR(E587="Concluído",A587&gt;=TODAY()),0,TODAY()-A587)</x:f>
        <x:v>0</x:v>
      </x:c>
      <x:c r="K587" s="40" t="str"/>
    </x:row>
    <x:row r="588">
      <x:c r="A588" s="34" t="n">
        <x:v>46358</x:v>
      </x:c>
      <x:c r="B588" s="40" t="str">
        <x:v>Língua Inglesa</x:v>
      </x:c>
      <x:c r="C588" s="40" t="str">
        <x:v>3 - Língua Inglesa - Inglês não é de trás para frente</x:v>
      </x:c>
      <x:c r="D588" s="40" t="str">
        <x:v>Videoaula</x:v>
      </x:c>
      <x:c r="E588" s="40" t="str">
        <x:v>Não iniciado</x:v>
      </x:c>
      <x:c r="F588" s="41" t="str"/>
      <x:c r="G588" s="42" t="str"/>
      <x:c r="H588" s="40" t="str">
        <x:v>Normal</x:v>
      </x:c>
      <x:c r="I588" s="40" t="str">
        <x:f>IF(E588="Concluído","Concluído",IF(A588&lt;TODAY(),"Atrasado",IF(A588=TODAY(),"Hoje","Futuro")))</x:f>
        <x:v>Futuro</x:v>
      </x:c>
      <x:c r="J588" s="43" t="n">
        <x:f>IF(OR(E588="Concluído",A588&gt;=TODAY()),0,TODAY()-A588)</x:f>
        <x:v>0</x:v>
      </x:c>
      <x:c r="K588" s="40" t="str"/>
    </x:row>
    <x:row r="589">
      <x:c r="A589" s="34" t="n">
        <x:v>46358</x:v>
      </x:c>
      <x:c r="B589" s="40" t="str">
        <x:v>Língua Inglesa</x:v>
      </x:c>
      <x:c r="C589" s="40" t="str">
        <x:v>4 - Língua Inglesa - Conceito de Lista de Verbos</x:v>
      </x:c>
      <x:c r="D589" s="40" t="str">
        <x:v>Videoaula</x:v>
      </x:c>
      <x:c r="E589" s="40" t="str">
        <x:v>Não iniciado</x:v>
      </x:c>
      <x:c r="F589" s="41" t="str"/>
      <x:c r="G589" s="42" t="str"/>
      <x:c r="H589" s="40" t="str">
        <x:v>Normal</x:v>
      </x:c>
      <x:c r="I589" s="40" t="str">
        <x:f>IF(E589="Concluído","Concluído",IF(A589&lt;TODAY(),"Atrasado",IF(A589=TODAY(),"Hoje","Futuro")))</x:f>
        <x:v>Futuro</x:v>
      </x:c>
      <x:c r="J589" s="43" t="n">
        <x:f>IF(OR(E589="Concluído",A589&gt;=TODAY()),0,TODAY()-A589)</x:f>
        <x:v>0</x:v>
      </x:c>
      <x:c r="K589" s="40" t="str"/>
    </x:row>
    <x:row r="590">
      <x:c r="A590" s="34" t="n">
        <x:v>46359</x:v>
      </x:c>
      <x:c r="B590" s="40" t="str">
        <x:v>Língua Inglesa</x:v>
      </x:c>
      <x:c r="C590" s="40" t="str">
        <x:v>4 - Língua Inglesa - Conceito de Lista de Verbos</x:v>
      </x:c>
      <x:c r="D590" s="40" t="str">
        <x:v>Videoaula</x:v>
      </x:c>
      <x:c r="E590" s="40" t="str">
        <x:v>Não iniciado</x:v>
      </x:c>
      <x:c r="F590" s="41" t="str"/>
      <x:c r="G590" s="42" t="str"/>
      <x:c r="H590" s="40" t="str">
        <x:v>Normal</x:v>
      </x:c>
      <x:c r="I590" s="40" t="str">
        <x:f>IF(E590="Concluído","Concluído",IF(A590&lt;TODAY(),"Atrasado",IF(A590=TODAY(),"Hoje","Futuro")))</x:f>
        <x:v>Futuro</x:v>
      </x:c>
      <x:c r="J590" s="43" t="n">
        <x:f>IF(OR(E590="Concluído",A590&gt;=TODAY()),0,TODAY()-A590)</x:f>
        <x:v>0</x:v>
      </x:c>
      <x:c r="K590" s="40" t="str"/>
    </x:row>
    <x:row r="591">
      <x:c r="A591" s="34" t="n">
        <x:v>46359</x:v>
      </x:c>
      <x:c r="B591" s="40" t="str">
        <x:v>Atualidades e Inteligência Artificial</x:v>
      </x:c>
      <x:c r="C591" s="40" t="str">
        <x:v>21 - K - Means</x:v>
      </x:c>
      <x:c r="D591" s="40" t="str">
        <x:v>Videoaula</x:v>
      </x:c>
      <x:c r="E591" s="40" t="str">
        <x:v>Não iniciado</x:v>
      </x:c>
      <x:c r="F591" s="41" t="str"/>
      <x:c r="G591" s="42" t="str"/>
      <x:c r="H591" s="40" t="str">
        <x:v>Normal</x:v>
      </x:c>
      <x:c r="I591" s="40" t="str">
        <x:f>IF(E591="Concluído","Concluído",IF(A591&lt;TODAY(),"Atrasado",IF(A591=TODAY(),"Hoje","Futuro")))</x:f>
        <x:v>Futuro</x:v>
      </x:c>
      <x:c r="J591" s="43" t="n">
        <x:f>IF(OR(E591="Concluído",A591&gt;=TODAY()),0,TODAY()-A591)</x:f>
        <x:v>0</x:v>
      </x:c>
      <x:c r="K591" s="40" t="str"/>
    </x:row>
    <x:row r="592">
      <x:c r="A592" s="34" t="n">
        <x:v>46359</x:v>
      </x:c>
      <x:c r="B592" s="40" t="str">
        <x:v>Atualidades e Inteligência Artificial</x:v>
      </x:c>
      <x:c r="C592" s="40" t="str">
        <x:v>22 - Algoritmos Hierárquicos e DBSCAN</x:v>
      </x:c>
      <x:c r="D592" s="40" t="str">
        <x:v>Videoaula</x:v>
      </x:c>
      <x:c r="E592" s="40" t="str">
        <x:v>Não iniciado</x:v>
      </x:c>
      <x:c r="F592" s="41" t="str"/>
      <x:c r="G592" s="42" t="str"/>
      <x:c r="H592" s="40" t="str">
        <x:v>Normal</x:v>
      </x:c>
      <x:c r="I592" s="40" t="str">
        <x:f>IF(E592="Concluído","Concluído",IF(A592&lt;TODAY(),"Atrasado",IF(A592=TODAY(),"Hoje","Futuro")))</x:f>
        <x:v>Futuro</x:v>
      </x:c>
      <x:c r="J592" s="43" t="n">
        <x:f>IF(OR(E592="Concluído",A592&gt;=TODAY()),0,TODAY()-A592)</x:f>
        <x:v>0</x:v>
      </x:c>
      <x:c r="K592" s="40" t="str"/>
    </x:row>
    <x:row r="593">
      <x:c r="A593" s="34" t="n">
        <x:v>46359</x:v>
      </x:c>
      <x:c r="B593" s="40" t="str">
        <x:v>Gestão e Governança de Tecnologia da Informação</x:v>
      </x:c>
      <x:c r="C593" s="40" t="str">
        <x:v>20 - Gestão de Projetos - PMBOK 7ª Edição - Domínio de Desempenho do Planejamento III</x:v>
      </x:c>
      <x:c r="D593" s="40" t="str">
        <x:v>Videoaula</x:v>
      </x:c>
      <x:c r="E593" s="40" t="str">
        <x:v>Não iniciado</x:v>
      </x:c>
      <x:c r="F593" s="41" t="str"/>
      <x:c r="G593" s="42" t="str"/>
      <x:c r="H593" s="40" t="str">
        <x:v>Normal</x:v>
      </x:c>
      <x:c r="I593" s="40" t="str">
        <x:f>IF(E593="Concluído","Concluído",IF(A593&lt;TODAY(),"Atrasado",IF(A593=TODAY(),"Hoje","Futuro")))</x:f>
        <x:v>Futuro</x:v>
      </x:c>
      <x:c r="J593" s="43" t="n">
        <x:f>IF(OR(E593="Concluído",A593&gt;=TODAY()),0,TODAY()-A593)</x:f>
        <x:v>0</x:v>
      </x:c>
      <x:c r="K593" s="40" t="str"/>
    </x:row>
    <x:row r="594">
      <x:c r="A594" s="34" t="n">
        <x:v>46359</x:v>
      </x:c>
      <x:c r="B594" s="40" t="str">
        <x:v>Gestão e Governança de Tecnologia da Informação</x:v>
      </x:c>
      <x:c r="C594" s="40" t="str">
        <x:v>21 - Gestão de Projetos - PMBOK 7ª Edição - Domínio de Desempenho do Planejamento IV</x:v>
      </x:c>
      <x:c r="D594" s="40" t="str">
        <x:v>Videoaula</x:v>
      </x:c>
      <x:c r="E594" s="40" t="str">
        <x:v>Não iniciado</x:v>
      </x:c>
      <x:c r="F594" s="41" t="str"/>
      <x:c r="G594" s="42" t="str"/>
      <x:c r="H594" s="40" t="str">
        <x:v>Normal</x:v>
      </x:c>
      <x:c r="I594" s="40" t="str">
        <x:f>IF(E594="Concluído","Concluído",IF(A594&lt;TODAY(),"Atrasado",IF(A594=TODAY(),"Hoje","Futuro")))</x:f>
        <x:v>Futuro</x:v>
      </x:c>
      <x:c r="J594" s="43" t="n">
        <x:f>IF(OR(E594="Concluído",A594&gt;=TODAY()),0,TODAY()-A594)</x:f>
        <x:v>0</x:v>
      </x:c>
      <x:c r="K594" s="40" t="str"/>
    </x:row>
    <x:row r="595">
      <x:c r="A595" s="34" t="n">
        <x:v>46360</x:v>
      </x:c>
      <x:c r="B595" s="40" t="str">
        <x:v>Língua Portuguesa</x:v>
      </x:c>
      <x:c r="C595" s="40" t="str">
        <x:v>4 - Emprego dos Sinais de Pontuação</x:v>
      </x:c>
      <x:c r="D595" s="40" t="str">
        <x:v>Pdf</x:v>
      </x:c>
      <x:c r="E595" s="40" t="str">
        <x:v>Não iniciado</x:v>
      </x:c>
      <x:c r="F595" s="41" t="str"/>
      <x:c r="G595" s="42" t="str"/>
      <x:c r="H595" s="40" t="str">
        <x:v>Normal</x:v>
      </x:c>
      <x:c r="I595" s="40" t="str">
        <x:f>IF(E595="Concluído","Concluído",IF(A595&lt;TODAY(),"Atrasado",IF(A595=TODAY(),"Hoje","Futuro")))</x:f>
        <x:v>Futuro</x:v>
      </x:c>
      <x:c r="J595" s="43" t="n">
        <x:f>IF(OR(E595="Concluído",A595&gt;=TODAY()),0,TODAY()-A595)</x:f>
        <x:v>0</x:v>
      </x:c>
      <x:c r="K595" s="40" t="str"/>
    </x:row>
    <x:row r="596">
      <x:c r="A596" s="34" t="n">
        <x:v>46360</x:v>
      </x:c>
      <x:c r="B596" s="40" t="str">
        <x:v>Inteligência Emocional</x:v>
      </x:c>
      <x:c r="C596" s="40" t="str">
        <x:v>27 - ELO 27: Perfeccionismo: o Equilíbrio Leva à Excelência?</x:v>
      </x:c>
      <x:c r="D596" s="40" t="str">
        <x:v>Pdf</x:v>
      </x:c>
      <x:c r="E596" s="40" t="str">
        <x:v>Não iniciado</x:v>
      </x:c>
      <x:c r="F596" s="41" t="str"/>
      <x:c r="G596" s="42" t="str"/>
      <x:c r="H596" s="40" t="str">
        <x:v>Normal</x:v>
      </x:c>
      <x:c r="I596" s="40" t="str">
        <x:f>IF(E596="Concluído","Concluído",IF(A596&lt;TODAY(),"Atrasado",IF(A596=TODAY(),"Hoje","Futuro")))</x:f>
        <x:v>Futuro</x:v>
      </x:c>
      <x:c r="J596" s="43" t="n">
        <x:f>IF(OR(E596="Concluído",A596&gt;=TODAY()),0,TODAY()-A596)</x:f>
        <x:v>0</x:v>
      </x:c>
      <x:c r="K596" s="40" t="str"/>
    </x:row>
    <x:row r="597">
      <x:c r="A597" s="34" t="n">
        <x:v>46360</x:v>
      </x:c>
      <x:c r="B597" s="40" t="str">
        <x:v>Língua Portuguesa</x:v>
      </x:c>
      <x:c r="C597" s="40" t="str">
        <x:v>3 - Orações Subordinadas Adjetivas - Pronome Relativo "Que" II</x:v>
      </x:c>
      <x:c r="D597" s="40" t="str">
        <x:v>Videoaula</x:v>
      </x:c>
      <x:c r="E597" s="40" t="str">
        <x:v>Não iniciado</x:v>
      </x:c>
      <x:c r="F597" s="41" t="str"/>
      <x:c r="G597" s="42" t="str"/>
      <x:c r="H597" s="40" t="str">
        <x:v>Normal</x:v>
      </x:c>
      <x:c r="I597" s="40" t="str">
        <x:f>IF(E597="Concluído","Concluído",IF(A597&lt;TODAY(),"Atrasado",IF(A597=TODAY(),"Hoje","Futuro")))</x:f>
        <x:v>Futuro</x:v>
      </x:c>
      <x:c r="J597" s="43" t="n">
        <x:f>IF(OR(E597="Concluído",A597&gt;=TODAY()),0,TODAY()-A597)</x:f>
        <x:v>0</x:v>
      </x:c>
      <x:c r="K597" s="40" t="str"/>
    </x:row>
    <x:row r="598">
      <x:c r="A598" s="34" t="n">
        <x:v>46360</x:v>
      </x:c>
      <x:c r="B598" s="40" t="str">
        <x:v>Língua Portuguesa</x:v>
      </x:c>
      <x:c r="C598" s="40" t="str">
        <x:v>4 - Pronome Relativo " O Qual "</x:v>
      </x:c>
      <x:c r="D598" s="40" t="str">
        <x:v>Videoaula</x:v>
      </x:c>
      <x:c r="E598" s="40" t="str">
        <x:v>Não iniciado</x:v>
      </x:c>
      <x:c r="F598" s="41" t="str"/>
      <x:c r="G598" s="42" t="str"/>
      <x:c r="H598" s="40" t="str">
        <x:v>Normal</x:v>
      </x:c>
      <x:c r="I598" s="40" t="str">
        <x:f>IF(E598="Concluído","Concluído",IF(A598&lt;TODAY(),"Atrasado",IF(A598=TODAY(),"Hoje","Futuro")))</x:f>
        <x:v>Futuro</x:v>
      </x:c>
      <x:c r="J598" s="43" t="n">
        <x:f>IF(OR(E598="Concluído",A598&gt;=TODAY()),0,TODAY()-A598)</x:f>
        <x:v>0</x:v>
      </x:c>
      <x:c r="K598" s="40" t="str"/>
    </x:row>
    <x:row r="599">
      <x:c r="A599" s="34" t="n">
        <x:v>46360</x:v>
      </x:c>
      <x:c r="B599" s="40" t="str">
        <x:v>Língua Inglesa</x:v>
      </x:c>
      <x:c r="C599" s="40" t="str">
        <x:v>5 - Língua Inglesa - O Famoso Verbo To Be</x:v>
      </x:c>
      <x:c r="D599" s="40" t="str">
        <x:v>Videoaula</x:v>
      </x:c>
      <x:c r="E599" s="40" t="str">
        <x:v>Não iniciado</x:v>
      </x:c>
      <x:c r="F599" s="41" t="str"/>
      <x:c r="G599" s="42" t="str"/>
      <x:c r="H599" s="40" t="str">
        <x:v>Normal</x:v>
      </x:c>
      <x:c r="I599" s="40" t="str">
        <x:f>IF(E599="Concluído","Concluído",IF(A599&lt;TODAY(),"Atrasado",IF(A599=TODAY(),"Hoje","Futuro")))</x:f>
        <x:v>Futuro</x:v>
      </x:c>
      <x:c r="J599" s="43" t="n">
        <x:f>IF(OR(E599="Concluído",A599&gt;=TODAY()),0,TODAY()-A599)</x:f>
        <x:v>0</x:v>
      </x:c>
      <x:c r="K599" s="40" t="str"/>
    </x:row>
    <x:row r="600">
      <x:c r="A600" s="34" t="n">
        <x:v>46361</x:v>
      </x:c>
      <x:c r="B600" s="40" t="str">
        <x:v>Língua Inglesa</x:v>
      </x:c>
      <x:c r="C600" s="40" t="str">
        <x:v>5 - Língua Inglesa - O Famoso Verbo To Be</x:v>
      </x:c>
      <x:c r="D600" s="40" t="str">
        <x:v>Videoaula</x:v>
      </x:c>
      <x:c r="E600" s="40" t="str">
        <x:v>Não iniciado</x:v>
      </x:c>
      <x:c r="F600" s="41" t="str"/>
      <x:c r="G600" s="42" t="str"/>
      <x:c r="H600" s="40" t="str">
        <x:v>Normal</x:v>
      </x:c>
      <x:c r="I600" s="40" t="str">
        <x:f>IF(E600="Concluído","Concluído",IF(A600&lt;TODAY(),"Atrasado",IF(A600=TODAY(),"Hoje","Futuro")))</x:f>
        <x:v>Futuro</x:v>
      </x:c>
      <x:c r="J600" s="43" t="n">
        <x:f>IF(OR(E600="Concluído",A600&gt;=TODAY()),0,TODAY()-A600)</x:f>
        <x:v>0</x:v>
      </x:c>
      <x:c r="K600" s="40" t="str"/>
    </x:row>
    <x:row r="601">
      <x:c r="A601" s="34" t="n">
        <x:v>46361</x:v>
      </x:c>
      <x:c r="B601" s="40" t="str">
        <x:v>Língua Inglesa</x:v>
      </x:c>
      <x:c r="C601" s="40" t="str">
        <x:v>6 - Língua Inglesa - Comparativos e Superlativos de Igualdade e Inferioridade</x:v>
      </x:c>
      <x:c r="D601" s="40" t="str">
        <x:v>Videoaula</x:v>
      </x:c>
      <x:c r="E601" s="40" t="str">
        <x:v>Não iniciado</x:v>
      </x:c>
      <x:c r="F601" s="41" t="str"/>
      <x:c r="G601" s="42" t="str"/>
      <x:c r="H601" s="40" t="str">
        <x:v>Normal</x:v>
      </x:c>
      <x:c r="I601" s="40" t="str">
        <x:f>IF(E601="Concluído","Concluído",IF(A601&lt;TODAY(),"Atrasado",IF(A601=TODAY(),"Hoje","Futuro")))</x:f>
        <x:v>Futuro</x:v>
      </x:c>
      <x:c r="J601" s="43" t="n">
        <x:f>IF(OR(E601="Concluído",A601&gt;=TODAY()),0,TODAY()-A601)</x:f>
        <x:v>0</x:v>
      </x:c>
      <x:c r="K601" s="40" t="str"/>
    </x:row>
    <x:row r="602">
      <x:c r="A602" s="34" t="n">
        <x:v>46361</x:v>
      </x:c>
      <x:c r="B602" s="40" t="str">
        <x:v>Atualidades e Inteligência Artificial</x:v>
      </x:c>
      <x:c r="C602" s="40" t="str">
        <x:v>23 - Redução de Dimensionalidade</x:v>
      </x:c>
      <x:c r="D602" s="40" t="str">
        <x:v>Videoaula</x:v>
      </x:c>
      <x:c r="E602" s="40" t="str">
        <x:v>Não iniciado</x:v>
      </x:c>
      <x:c r="F602" s="41" t="str"/>
      <x:c r="G602" s="42" t="str"/>
      <x:c r="H602" s="40" t="str">
        <x:v>Normal</x:v>
      </x:c>
      <x:c r="I602" s="40" t="str">
        <x:f>IF(E602="Concluído","Concluído",IF(A602&lt;TODAY(),"Atrasado",IF(A602=TODAY(),"Hoje","Futuro")))</x:f>
        <x:v>Futuro</x:v>
      </x:c>
      <x:c r="J602" s="43" t="n">
        <x:f>IF(OR(E602="Concluído",A602&gt;=TODAY()),0,TODAY()-A602)</x:f>
        <x:v>0</x:v>
      </x:c>
      <x:c r="K602" s="40" t="str"/>
    </x:row>
    <x:row r="603">
      <x:c r="A603" s="34" t="n">
        <x:v>46361</x:v>
      </x:c>
      <x:c r="B603" s="40" t="str">
        <x:v>Atualidades e Inteligência Artificial</x:v>
      </x:c>
      <x:c r="C603" s="40" t="str">
        <x:v>24 - Regras de associação</x:v>
      </x:c>
      <x:c r="D603" s="40" t="str">
        <x:v>Videoaula</x:v>
      </x:c>
      <x:c r="E603" s="40" t="str">
        <x:v>Não iniciado</x:v>
      </x:c>
      <x:c r="F603" s="41" t="str"/>
      <x:c r="G603" s="42" t="str"/>
      <x:c r="H603" s="40" t="str">
        <x:v>Normal</x:v>
      </x:c>
      <x:c r="I603" s="40" t="str">
        <x:f>IF(E603="Concluído","Concluído",IF(A603&lt;TODAY(),"Atrasado",IF(A603=TODAY(),"Hoje","Futuro")))</x:f>
        <x:v>Futuro</x:v>
      </x:c>
      <x:c r="J603" s="43" t="n">
        <x:f>IF(OR(E603="Concluído",A603&gt;=TODAY()),0,TODAY()-A603)</x:f>
        <x:v>0</x:v>
      </x:c>
      <x:c r="K603" s="40" t="str"/>
    </x:row>
    <x:row r="604">
      <x:c r="A604" s="34" t="n">
        <x:v>46361</x:v>
      </x:c>
      <x:c r="B604" s="40" t="str">
        <x:v>Gestão e Governança de Tecnologia da Informação</x:v>
      </x:c>
      <x:c r="C604" s="40" t="str">
        <x:v>22 - Gestão de Projetos - PMBOK 7ª Edição - Domínio de Desempenho do Planejamento V</x:v>
      </x:c>
      <x:c r="D604" s="40" t="str">
        <x:v>Videoaula</x:v>
      </x:c>
      <x:c r="E604" s="40" t="str">
        <x:v>Não iniciado</x:v>
      </x:c>
      <x:c r="F604" s="41" t="str"/>
      <x:c r="G604" s="42" t="str"/>
      <x:c r="H604" s="40" t="str">
        <x:v>Normal</x:v>
      </x:c>
      <x:c r="I604" s="40" t="str">
        <x:f>IF(E604="Concluído","Concluído",IF(A604&lt;TODAY(),"Atrasado",IF(A604=TODAY(),"Hoje","Futuro")))</x:f>
        <x:v>Futuro</x:v>
      </x:c>
      <x:c r="J604" s="43" t="n">
        <x:f>IF(OR(E604="Concluído",A604&gt;=TODAY()),0,TODAY()-A604)</x:f>
        <x:v>0</x:v>
      </x:c>
      <x:c r="K604" s="40" t="str"/>
    </x:row>
    <x:row r="605">
      <x:c r="A605" s="34" t="n">
        <x:v>46362</x:v>
      </x:c>
      <x:c r="B605" s="40" t="str">
        <x:v>Gestão e Governança de Tecnologia da Informação</x:v>
      </x:c>
      <x:c r="C605" s="40" t="str">
        <x:v>22 - Gestão de Projetos - PMBOK 7ª Edição - Domínio de Desempenho do Planejamento V</x:v>
      </x:c>
      <x:c r="D605" s="40" t="str">
        <x:v>Videoaula</x:v>
      </x:c>
      <x:c r="E605" s="40" t="str">
        <x:v>Não iniciado</x:v>
      </x:c>
      <x:c r="F605" s="41" t="str"/>
      <x:c r="G605" s="42" t="str"/>
      <x:c r="H605" s="40" t="str">
        <x:v>Normal</x:v>
      </x:c>
      <x:c r="I605" s="40" t="str">
        <x:f>IF(E605="Concluído","Concluído",IF(A605&lt;TODAY(),"Atrasado",IF(A605=TODAY(),"Hoje","Futuro")))</x:f>
        <x:v>Futuro</x:v>
      </x:c>
      <x:c r="J605" s="43" t="n">
        <x:f>IF(OR(E605="Concluído",A605&gt;=TODAY()),0,TODAY()-A605)</x:f>
        <x:v>0</x:v>
      </x:c>
      <x:c r="K605" s="40" t="str"/>
    </x:row>
    <x:row r="606">
      <x:c r="A606" s="34" t="n">
        <x:v>46362</x:v>
      </x:c>
      <x:c r="B606" s="40" t="str">
        <x:v>Gestão e Governança de Tecnologia da Informação</x:v>
      </x:c>
      <x:c r="C606" s="40" t="str">
        <x:v>23 - Gestão de Projetos - PMBOK 7ª Edição - Domínio de Desempenho do Planejamento VI</x:v>
      </x:c>
      <x:c r="D606" s="40" t="str">
        <x:v>Videoaula</x:v>
      </x:c>
      <x:c r="E606" s="40" t="str">
        <x:v>Não iniciado</x:v>
      </x:c>
      <x:c r="F606" s="41" t="str"/>
      <x:c r="G606" s="42" t="str"/>
      <x:c r="H606" s="40" t="str">
        <x:v>Normal</x:v>
      </x:c>
      <x:c r="I606" s="40" t="str">
        <x:f>IF(E606="Concluído","Concluído",IF(A606&lt;TODAY(),"Atrasado",IF(A606=TODAY(),"Hoje","Futuro")))</x:f>
        <x:v>Futuro</x:v>
      </x:c>
      <x:c r="J606" s="43" t="n">
        <x:f>IF(OR(E606="Concluído",A606&gt;=TODAY()),0,TODAY()-A606)</x:f>
        <x:v>0</x:v>
      </x:c>
      <x:c r="K606" s="40" t="str"/>
    </x:row>
    <x:row r="607">
      <x:c r="A607" s="34" t="n">
        <x:v>46362</x:v>
      </x:c>
      <x:c r="B607" s="40" t="str">
        <x:v>Inteligência Emocional</x:v>
      </x:c>
      <x:c r="C607" s="40" t="str">
        <x:v>28 - ELO 28: As Sombras e a Maldade Humana</x:v>
      </x:c>
      <x:c r="D607" s="40" t="str">
        <x:v>Pdf</x:v>
      </x:c>
      <x:c r="E607" s="40" t="str">
        <x:v>Não iniciado</x:v>
      </x:c>
      <x:c r="F607" s="41" t="str"/>
      <x:c r="G607" s="42" t="str"/>
      <x:c r="H607" s="40" t="str">
        <x:v>Normal</x:v>
      </x:c>
      <x:c r="I607" s="40" t="str">
        <x:f>IF(E607="Concluído","Concluído",IF(A607&lt;TODAY(),"Atrasado",IF(A607=TODAY(),"Hoje","Futuro")))</x:f>
        <x:v>Futuro</x:v>
      </x:c>
      <x:c r="J607" s="43" t="n">
        <x:f>IF(OR(E607="Concluído",A607&gt;=TODAY()),0,TODAY()-A607)</x:f>
        <x:v>0</x:v>
      </x:c>
      <x:c r="K607" s="40" t="str"/>
    </x:row>
    <x:row r="608">
      <x:c r="A608" s="34" t="n">
        <x:v>46362</x:v>
      </x:c>
      <x:c r="B608" s="40" t="str">
        <x:v>Língua Portuguesa</x:v>
      </x:c>
      <x:c r="C608" s="40" t="str">
        <x:v>5 - Orações Subordinadas Substantivas</x:v>
      </x:c>
      <x:c r="D608" s="40" t="str">
        <x:v>Videoaula</x:v>
      </x:c>
      <x:c r="E608" s="40" t="str">
        <x:v>Não iniciado</x:v>
      </x:c>
      <x:c r="F608" s="41" t="str"/>
      <x:c r="G608" s="42" t="str"/>
      <x:c r="H608" s="40" t="str">
        <x:v>Normal</x:v>
      </x:c>
      <x:c r="I608" s="40" t="str">
        <x:f>IF(E608="Concluído","Concluído",IF(A608&lt;TODAY(),"Atrasado",IF(A608=TODAY(),"Hoje","Futuro")))</x:f>
        <x:v>Futuro</x:v>
      </x:c>
      <x:c r="J608" s="43" t="n">
        <x:f>IF(OR(E608="Concluído",A608&gt;=TODAY()),0,TODAY()-A608)</x:f>
        <x:v>0</x:v>
      </x:c>
      <x:c r="K608" s="40" t="str"/>
    </x:row>
    <x:row r="609">
      <x:c r="A609" s="34" t="n">
        <x:v>46362</x:v>
      </x:c>
      <x:c r="B609" s="40" t="str">
        <x:v>Revisão</x:v>
      </x:c>
      <x:c r="C609" s="40" t="str">
        <x:v>Revisão</x:v>
      </x:c>
      <x:c r="D609" s="40" t="str">
        <x:v>Revisao</x:v>
      </x:c>
      <x:c r="E609" s="40" t="str">
        <x:v>Não iniciado</x:v>
      </x:c>
      <x:c r="F609" s="41" t="str"/>
      <x:c r="G609" s="42" t="str"/>
      <x:c r="H609" s="40" t="str">
        <x:v>Normal</x:v>
      </x:c>
      <x:c r="I609" s="40" t="str">
        <x:f>IF(E609="Concluído","Concluído",IF(A609&lt;TODAY(),"Atrasado",IF(A609=TODAY(),"Hoje","Futuro")))</x:f>
        <x:v>Futuro</x:v>
      </x:c>
      <x:c r="J609" s="43" t="n">
        <x:f>IF(OR(E609="Concluído",A609&gt;=TODAY()),0,TODAY()-A609)</x:f>
        <x:v>0</x:v>
      </x:c>
      <x:c r="K609" s="40" t="str"/>
    </x:row>
    <x:row r="610">
      <x:c r="A610" s="34" t="n">
        <x:v>46363</x:v>
      </x:c>
      <x:c r="B610" s="40" t="str">
        <x:v>Língua Portuguesa</x:v>
      </x:c>
      <x:c r="C610" s="40" t="str">
        <x:v>5 - Orações Subordinadas Substantivas</x:v>
      </x:c>
      <x:c r="D610" s="40" t="str">
        <x:v>Videoaula</x:v>
      </x:c>
      <x:c r="E610" s="40" t="str">
        <x:v>Não iniciado</x:v>
      </x:c>
      <x:c r="F610" s="41" t="str"/>
      <x:c r="G610" s="42" t="str"/>
      <x:c r="H610" s="40" t="str">
        <x:v>Normal</x:v>
      </x:c>
      <x:c r="I610" s="40" t="str">
        <x:f>IF(E610="Concluído","Concluído",IF(A610&lt;TODAY(),"Atrasado",IF(A610=TODAY(),"Hoje","Futuro")))</x:f>
        <x:v>Futuro</x:v>
      </x:c>
      <x:c r="J610" s="43" t="n">
        <x:f>IF(OR(E610="Concluído",A610&gt;=TODAY()),0,TODAY()-A610)</x:f>
        <x:v>0</x:v>
      </x:c>
      <x:c r="K610" s="40" t="str"/>
    </x:row>
    <x:row r="611">
      <x:c r="A611" s="34" t="n">
        <x:v>46363</x:v>
      </x:c>
      <x:c r="B611" s="40" t="str">
        <x:v>Língua Portuguesa</x:v>
      </x:c>
      <x:c r="C611" s="40" t="str">
        <x:v>6 - Orações Subordinadas Substantivas II</x:v>
      </x:c>
      <x:c r="D611" s="40" t="str">
        <x:v>Videoaula</x:v>
      </x:c>
      <x:c r="E611" s="40" t="str">
        <x:v>Não iniciado</x:v>
      </x:c>
      <x:c r="F611" s="41" t="str"/>
      <x:c r="G611" s="42" t="str"/>
      <x:c r="H611" s="40" t="str">
        <x:v>Normal</x:v>
      </x:c>
      <x:c r="I611" s="40" t="str">
        <x:f>IF(E611="Concluído","Concluído",IF(A611&lt;TODAY(),"Atrasado",IF(A611=TODAY(),"Hoje","Futuro")))</x:f>
        <x:v>Futuro</x:v>
      </x:c>
      <x:c r="J611" s="43" t="n">
        <x:f>IF(OR(E611="Concluído",A611&gt;=TODAY()),0,TODAY()-A611)</x:f>
        <x:v>0</x:v>
      </x:c>
      <x:c r="K611" s="40" t="str"/>
    </x:row>
    <x:row r="612">
      <x:c r="A612" s="34" t="n">
        <x:v>46363</x:v>
      </x:c>
      <x:c r="B612" s="40" t="str">
        <x:v>Língua Inglesa</x:v>
      </x:c>
      <x:c r="C612" s="40" t="str">
        <x:v>7 - Língua Inglesa - Comparativos e Superlativos de Superioridade</x:v>
      </x:c>
      <x:c r="D612" s="40" t="str">
        <x:v>Videoaula</x:v>
      </x:c>
      <x:c r="E612" s="40" t="str">
        <x:v>Não iniciado</x:v>
      </x:c>
      <x:c r="F612" s="41" t="str"/>
      <x:c r="G612" s="42" t="str"/>
      <x:c r="H612" s="40" t="str">
        <x:v>Normal</x:v>
      </x:c>
      <x:c r="I612" s="40" t="str">
        <x:f>IF(E612="Concluído","Concluído",IF(A612&lt;TODAY(),"Atrasado",IF(A612=TODAY(),"Hoje","Futuro")))</x:f>
        <x:v>Futuro</x:v>
      </x:c>
      <x:c r="J612" s="43" t="n">
        <x:f>IF(OR(E612="Concluído",A612&gt;=TODAY()),0,TODAY()-A612)</x:f>
        <x:v>0</x:v>
      </x:c>
      <x:c r="K612" s="40" t="str"/>
    </x:row>
    <x:row r="613">
      <x:c r="A613" s="34" t="n">
        <x:v>46363</x:v>
      </x:c>
      <x:c r="B613" s="40" t="str">
        <x:v>Língua Inglesa</x:v>
      </x:c>
      <x:c r="C613" s="40" t="str">
        <x:v>8 - Língua Inglesa - Advérbios</x:v>
      </x:c>
      <x:c r="D613" s="40" t="str">
        <x:v>Videoaula</x:v>
      </x:c>
      <x:c r="E613" s="40" t="str">
        <x:v>Não iniciado</x:v>
      </x:c>
      <x:c r="F613" s="41" t="str"/>
      <x:c r="G613" s="42" t="str"/>
      <x:c r="H613" s="40" t="str">
        <x:v>Normal</x:v>
      </x:c>
      <x:c r="I613" s="40" t="str">
        <x:f>IF(E613="Concluído","Concluído",IF(A613&lt;TODAY(),"Atrasado",IF(A613=TODAY(),"Hoje","Futuro")))</x:f>
        <x:v>Futuro</x:v>
      </x:c>
      <x:c r="J613" s="43" t="n">
        <x:f>IF(OR(E613="Concluído",A613&gt;=TODAY()),0,TODAY()-A613)</x:f>
        <x:v>0</x:v>
      </x:c>
      <x:c r="K613" s="40" t="str"/>
    </x:row>
    <x:row r="614">
      <x:c r="A614" s="34" t="n">
        <x:v>46364</x:v>
      </x:c>
      <x:c r="B614" s="40" t="str">
        <x:v>Atualidades e Inteligência Artificial</x:v>
      </x:c>
      <x:c r="C614" s="40" t="str">
        <x:v>25 - Regras de associação II</x:v>
      </x:c>
      <x:c r="D614" s="40" t="str">
        <x:v>Videoaula</x:v>
      </x:c>
      <x:c r="E614" s="40" t="str">
        <x:v>Não iniciado</x:v>
      </x:c>
      <x:c r="F614" s="41" t="str"/>
      <x:c r="G614" s="42" t="str"/>
      <x:c r="H614" s="40" t="str">
        <x:v>Normal</x:v>
      </x:c>
      <x:c r="I614" s="40" t="str">
        <x:f>IF(E614="Concluído","Concluído",IF(A614&lt;TODAY(),"Atrasado",IF(A614=TODAY(),"Hoje","Futuro")))</x:f>
        <x:v>Futuro</x:v>
      </x:c>
      <x:c r="J614" s="43" t="n">
        <x:f>IF(OR(E614="Concluído",A614&gt;=TODAY()),0,TODAY()-A614)</x:f>
        <x:v>0</x:v>
      </x:c>
      <x:c r="K614" s="40" t="str"/>
    </x:row>
    <x:row r="615">
      <x:c r="A615" s="34" t="n">
        <x:v>46364</x:v>
      </x:c>
      <x:c r="B615" s="40" t="str">
        <x:v>Atualidades e Inteligência Artificial</x:v>
      </x:c>
      <x:c r="C615" s="40" t="str">
        <x:v>26 - Aprendizado por reforço</x:v>
      </x:c>
      <x:c r="D615" s="40" t="str">
        <x:v>Videoaula</x:v>
      </x:c>
      <x:c r="E615" s="40" t="str">
        <x:v>Não iniciado</x:v>
      </x:c>
      <x:c r="F615" s="41" t="str"/>
      <x:c r="G615" s="42" t="str"/>
      <x:c r="H615" s="40" t="str">
        <x:v>Normal</x:v>
      </x:c>
      <x:c r="I615" s="40" t="str">
        <x:f>IF(E615="Concluído","Concluído",IF(A615&lt;TODAY(),"Atrasado",IF(A615=TODAY(),"Hoje","Futuro")))</x:f>
        <x:v>Futuro</x:v>
      </x:c>
      <x:c r="J615" s="43" t="n">
        <x:f>IF(OR(E615="Concluído",A615&gt;=TODAY()),0,TODAY()-A615)</x:f>
        <x:v>0</x:v>
      </x:c>
      <x:c r="K615" s="40" t="str"/>
    </x:row>
    <x:row r="616">
      <x:c r="A616" s="34" t="n">
        <x:v>46364</x:v>
      </x:c>
      <x:c r="B616" s="40" t="str">
        <x:v>Gestão e Governança de Tecnologia da Informação</x:v>
      </x:c>
      <x:c r="C616" s="40" t="str">
        <x:v>24 - Gestão de Projetos - PMBOK 7ª Edição - Domínio de Desempenho do Planejamento VII</x:v>
      </x:c>
      <x:c r="D616" s="40" t="str">
        <x:v>Videoaula</x:v>
      </x:c>
      <x:c r="E616" s="40" t="str">
        <x:v>Não iniciado</x:v>
      </x:c>
      <x:c r="F616" s="41" t="str"/>
      <x:c r="G616" s="42" t="str"/>
      <x:c r="H616" s="40" t="str">
        <x:v>Normal</x:v>
      </x:c>
      <x:c r="I616" s="40" t="str">
        <x:f>IF(E616="Concluído","Concluído",IF(A616&lt;TODAY(),"Atrasado",IF(A616=TODAY(),"Hoje","Futuro")))</x:f>
        <x:v>Futuro</x:v>
      </x:c>
      <x:c r="J616" s="43" t="n">
        <x:f>IF(OR(E616="Concluído",A616&gt;=TODAY()),0,TODAY()-A616)</x:f>
        <x:v>0</x:v>
      </x:c>
      <x:c r="K616" s="40" t="str"/>
    </x:row>
    <x:row r="617">
      <x:c r="A617" s="34" t="n">
        <x:v>46364</x:v>
      </x:c>
      <x:c r="B617" s="40" t="str">
        <x:v>Gestão e Governança de Tecnologia da Informação</x:v>
      </x:c>
      <x:c r="C617" s="40" t="str">
        <x:v>25 - Gestão de Projetos - PMBOK 7ª Edição - Domínio de Desempenho do Trabalho do Projeto</x:v>
      </x:c>
      <x:c r="D617" s="40" t="str">
        <x:v>Videoaula</x:v>
      </x:c>
      <x:c r="E617" s="40" t="str">
        <x:v>Não iniciado</x:v>
      </x:c>
      <x:c r="F617" s="41" t="str"/>
      <x:c r="G617" s="42" t="str"/>
      <x:c r="H617" s="40" t="str">
        <x:v>Normal</x:v>
      </x:c>
      <x:c r="I617" s="40" t="str">
        <x:f>IF(E617="Concluído","Concluído",IF(A617&lt;TODAY(),"Atrasado",IF(A617=TODAY(),"Hoje","Futuro")))</x:f>
        <x:v>Futuro</x:v>
      </x:c>
      <x:c r="J617" s="43" t="n">
        <x:f>IF(OR(E617="Concluído",A617&gt;=TODAY()),0,TODAY()-A617)</x:f>
        <x:v>0</x:v>
      </x:c>
      <x:c r="K617" s="40" t="str"/>
    </x:row>
    <x:row r="618">
      <x:c r="A618" s="34" t="n">
        <x:v>46365</x:v>
      </x:c>
      <x:c r="B618" s="40" t="str">
        <x:v>Gestão e Governança de Tecnologia da Informação</x:v>
      </x:c>
      <x:c r="C618" s="40" t="str">
        <x:v>25 - Gestão de Projetos - PMBOK 7ª Edição - Domínio de Desempenho do Trabalho do Projeto</x:v>
      </x:c>
      <x:c r="D618" s="40" t="str">
        <x:v>Videoaula</x:v>
      </x:c>
      <x:c r="E618" s="40" t="str">
        <x:v>Não iniciado</x:v>
      </x:c>
      <x:c r="F618" s="41" t="str"/>
      <x:c r="G618" s="42" t="str"/>
      <x:c r="H618" s="40" t="str">
        <x:v>Normal</x:v>
      </x:c>
      <x:c r="I618" s="40" t="str">
        <x:f>IF(E618="Concluído","Concluído",IF(A618&lt;TODAY(),"Atrasado",IF(A618=TODAY(),"Hoje","Futuro")))</x:f>
        <x:v>Futuro</x:v>
      </x:c>
      <x:c r="J618" s="43" t="n">
        <x:f>IF(OR(E618="Concluído",A618&gt;=TODAY()),0,TODAY()-A618)</x:f>
        <x:v>0</x:v>
      </x:c>
      <x:c r="K618" s="40" t="str"/>
    </x:row>
    <x:row r="619">
      <x:c r="A619" s="34" t="n">
        <x:v>46365</x:v>
      </x:c>
      <x:c r="B619" s="40" t="str">
        <x:v>Inteligência Emocional</x:v>
      </x:c>
      <x:c r="C619" s="40" t="str">
        <x:v>29 - ELO 29: A Raiva e o Concurseiro</x:v>
      </x:c>
      <x:c r="D619" s="40" t="str">
        <x:v>Pdf</x:v>
      </x:c>
      <x:c r="E619" s="40" t="str">
        <x:v>Não iniciado</x:v>
      </x:c>
      <x:c r="F619" s="41" t="str"/>
      <x:c r="G619" s="42" t="str"/>
      <x:c r="H619" s="40" t="str">
        <x:v>Normal</x:v>
      </x:c>
      <x:c r="I619" s="40" t="str">
        <x:f>IF(E619="Concluído","Concluído",IF(A619&lt;TODAY(),"Atrasado",IF(A619=TODAY(),"Hoje","Futuro")))</x:f>
        <x:v>Futuro</x:v>
      </x:c>
      <x:c r="J619" s="43" t="n">
        <x:f>IF(OR(E619="Concluído",A619&gt;=TODAY()),0,TODAY()-A619)</x:f>
        <x:v>0</x:v>
      </x:c>
      <x:c r="K619" s="40" t="str"/>
    </x:row>
    <x:row r="620">
      <x:c r="A620" s="34" t="n">
        <x:v>46365</x:v>
      </x:c>
      <x:c r="B620" s="40" t="str">
        <x:v>Língua Portuguesa</x:v>
      </x:c>
      <x:c r="C620" s="40" t="str">
        <x:v>7 - Expletivo "É Que" e Pronome Relativo "Cujo"</x:v>
      </x:c>
      <x:c r="D620" s="40" t="str">
        <x:v>Videoaula</x:v>
      </x:c>
      <x:c r="E620" s="40" t="str">
        <x:v>Não iniciado</x:v>
      </x:c>
      <x:c r="F620" s="41" t="str"/>
      <x:c r="G620" s="42" t="str"/>
      <x:c r="H620" s="40" t="str">
        <x:v>Normal</x:v>
      </x:c>
      <x:c r="I620" s="40" t="str">
        <x:f>IF(E620="Concluído","Concluído",IF(A620&lt;TODAY(),"Atrasado",IF(A620=TODAY(),"Hoje","Futuro")))</x:f>
        <x:v>Futuro</x:v>
      </x:c>
      <x:c r="J620" s="43" t="n">
        <x:f>IF(OR(E620="Concluído",A620&gt;=TODAY()),0,TODAY()-A620)</x:f>
        <x:v>0</x:v>
      </x:c>
      <x:c r="K620" s="40" t="str"/>
    </x:row>
    <x:row r="621">
      <x:c r="A621" s="34" t="n">
        <x:v>46365</x:v>
      </x:c>
      <x:c r="B621" s="40" t="str">
        <x:v>Língua Portuguesa</x:v>
      </x:c>
      <x:c r="C621" s="40" t="str">
        <x:v>8 - Exercícios (Pronome Cujo)</x:v>
      </x:c>
      <x:c r="D621" s="40" t="str">
        <x:v>Videoaula</x:v>
      </x:c>
      <x:c r="E621" s="40" t="str">
        <x:v>Não iniciado</x:v>
      </x:c>
      <x:c r="F621" s="41" t="str"/>
      <x:c r="G621" s="42" t="str"/>
      <x:c r="H621" s="40" t="str">
        <x:v>Normal</x:v>
      </x:c>
      <x:c r="I621" s="40" t="str">
        <x:f>IF(E621="Concluído","Concluído",IF(A621&lt;TODAY(),"Atrasado",IF(A621=TODAY(),"Hoje","Futuro")))</x:f>
        <x:v>Futuro</x:v>
      </x:c>
      <x:c r="J621" s="43" t="n">
        <x:f>IF(OR(E621="Concluído",A621&gt;=TODAY()),0,TODAY()-A621)</x:f>
        <x:v>0</x:v>
      </x:c>
      <x:c r="K621" s="40" t="str"/>
    </x:row>
    <x:row r="622">
      <x:c r="A622" s="34" t="n">
        <x:v>46366</x:v>
      </x:c>
      <x:c r="B622" s="40" t="str">
        <x:v>Língua Portuguesa</x:v>
      </x:c>
      <x:c r="C622" s="40" t="str">
        <x:v>8 - Exercícios (Pronome Cujo)</x:v>
      </x:c>
      <x:c r="D622" s="40" t="str">
        <x:v>Videoaula</x:v>
      </x:c>
      <x:c r="E622" s="40" t="str">
        <x:v>Não iniciado</x:v>
      </x:c>
      <x:c r="F622" s="41" t="str"/>
      <x:c r="G622" s="42" t="str"/>
      <x:c r="H622" s="40" t="str">
        <x:v>Normal</x:v>
      </x:c>
      <x:c r="I622" s="40" t="str">
        <x:f>IF(E622="Concluído","Concluído",IF(A622&lt;TODAY(),"Atrasado",IF(A622=TODAY(),"Hoje","Futuro")))</x:f>
        <x:v>Futuro</x:v>
      </x:c>
      <x:c r="J622" s="43" t="n">
        <x:f>IF(OR(E622="Concluído",A622&gt;=TODAY()),0,TODAY()-A622)</x:f>
        <x:v>0</x:v>
      </x:c>
      <x:c r="K622" s="40" t="str"/>
    </x:row>
    <x:row r="623">
      <x:c r="A623" s="34" t="n">
        <x:v>46366</x:v>
      </x:c>
      <x:c r="B623" s="40" t="str">
        <x:v>Língua Inglesa</x:v>
      </x:c>
      <x:c r="C623" s="40" t="str">
        <x:v>9 - Língua Inglesa - Preposições IN, AT e ON</x:v>
      </x:c>
      <x:c r="D623" s="40" t="str">
        <x:v>Videoaula</x:v>
      </x:c>
      <x:c r="E623" s="40" t="str">
        <x:v>Não iniciado</x:v>
      </x:c>
      <x:c r="F623" s="41" t="str"/>
      <x:c r="G623" s="42" t="str"/>
      <x:c r="H623" s="40" t="str">
        <x:v>Normal</x:v>
      </x:c>
      <x:c r="I623" s="40" t="str">
        <x:f>IF(E623="Concluído","Concluído",IF(A623&lt;TODAY(),"Atrasado",IF(A623=TODAY(),"Hoje","Futuro")))</x:f>
        <x:v>Futuro</x:v>
      </x:c>
      <x:c r="J623" s="43" t="n">
        <x:f>IF(OR(E623="Concluído",A623&gt;=TODAY()),0,TODAY()-A623)</x:f>
        <x:v>0</x:v>
      </x:c>
      <x:c r="K623" s="40" t="str"/>
    </x:row>
    <x:row r="624">
      <x:c r="A624" s="34" t="n">
        <x:v>46366</x:v>
      </x:c>
      <x:c r="B624" s="40" t="str">
        <x:v>Língua Inglesa</x:v>
      </x:c>
      <x:c r="C624" s="40" t="str">
        <x:v>10 - Língua Inglesa - Conjunções And, But, So, Or, Because</x:v>
      </x:c>
      <x:c r="D624" s="40" t="str">
        <x:v>Videoaula</x:v>
      </x:c>
      <x:c r="E624" s="40" t="str">
        <x:v>Não iniciado</x:v>
      </x:c>
      <x:c r="F624" s="41" t="str"/>
      <x:c r="G624" s="42" t="str"/>
      <x:c r="H624" s="40" t="str">
        <x:v>Normal</x:v>
      </x:c>
      <x:c r="I624" s="40" t="str">
        <x:f>IF(E624="Concluído","Concluído",IF(A624&lt;TODAY(),"Atrasado",IF(A624=TODAY(),"Hoje","Futuro")))</x:f>
        <x:v>Futuro</x:v>
      </x:c>
      <x:c r="J624" s="43" t="n">
        <x:f>IF(OR(E624="Concluído",A624&gt;=TODAY()),0,TODAY()-A624)</x:f>
        <x:v>0</x:v>
      </x:c>
      <x:c r="K624" s="40" t="str"/>
    </x:row>
    <x:row r="625">
      <x:c r="A625" s="34" t="n">
        <x:v>46366</x:v>
      </x:c>
      <x:c r="B625" s="40" t="str">
        <x:v>Atualidades e Inteligência Artificial</x:v>
      </x:c>
      <x:c r="C625" s="40" t="str">
        <x:v>27 - Deep Learning - Introdução</x:v>
      </x:c>
      <x:c r="D625" s="40" t="str">
        <x:v>Videoaula</x:v>
      </x:c>
      <x:c r="E625" s="40" t="str">
        <x:v>Não iniciado</x:v>
      </x:c>
      <x:c r="F625" s="41" t="str"/>
      <x:c r="G625" s="42" t="str"/>
      <x:c r="H625" s="40" t="str">
        <x:v>Normal</x:v>
      </x:c>
      <x:c r="I625" s="40" t="str">
        <x:f>IF(E625="Concluído","Concluído",IF(A625&lt;TODAY(),"Atrasado",IF(A625=TODAY(),"Hoje","Futuro")))</x:f>
        <x:v>Futuro</x:v>
      </x:c>
      <x:c r="J625" s="43" t="n">
        <x:f>IF(OR(E625="Concluído",A625&gt;=TODAY()),0,TODAY()-A625)</x:f>
        <x:v>0</x:v>
      </x:c>
      <x:c r="K625" s="40" t="str"/>
    </x:row>
    <x:row r="626">
      <x:c r="A626" s="34" t="n">
        <x:v>46366</x:v>
      </x:c>
      <x:c r="B626" s="40" t="str">
        <x:v>Atualidades e Inteligência Artificial</x:v>
      </x:c>
      <x:c r="C626" s="40" t="str">
        <x:v>28 - Redes Neurais Convolucionais</x:v>
      </x:c>
      <x:c r="D626" s="40" t="str">
        <x:v>Videoaula</x:v>
      </x:c>
      <x:c r="E626" s="40" t="str">
        <x:v>Não iniciado</x:v>
      </x:c>
      <x:c r="F626" s="41" t="str"/>
      <x:c r="G626" s="42" t="str"/>
      <x:c r="H626" s="40" t="str">
        <x:v>Normal</x:v>
      </x:c>
      <x:c r="I626" s="40" t="str">
        <x:f>IF(E626="Concluído","Concluído",IF(A626&lt;TODAY(),"Atrasado",IF(A626=TODAY(),"Hoje","Futuro")))</x:f>
        <x:v>Futuro</x:v>
      </x:c>
      <x:c r="J626" s="43" t="n">
        <x:f>IF(OR(E626="Concluído",A626&gt;=TODAY()),0,TODAY()-A626)</x:f>
        <x:v>0</x:v>
      </x:c>
      <x:c r="K626" s="40" t="str"/>
    </x:row>
    <x:row r="627">
      <x:c r="A627" s="34" t="n">
        <x:v>46367</x:v>
      </x:c>
      <x:c r="B627" s="40" t="str">
        <x:v>Atualidades e Inteligência Artificial</x:v>
      </x:c>
      <x:c r="C627" s="40" t="str">
        <x:v>28 - Redes Neurais Convolucionais</x:v>
      </x:c>
      <x:c r="D627" s="40" t="str">
        <x:v>Videoaula</x:v>
      </x:c>
      <x:c r="E627" s="40" t="str">
        <x:v>Não iniciado</x:v>
      </x:c>
      <x:c r="F627" s="41" t="str"/>
      <x:c r="G627" s="42" t="str"/>
      <x:c r="H627" s="40" t="str">
        <x:v>Normal</x:v>
      </x:c>
      <x:c r="I627" s="40" t="str">
        <x:f>IF(E627="Concluído","Concluído",IF(A627&lt;TODAY(),"Atrasado",IF(A627=TODAY(),"Hoje","Futuro")))</x:f>
        <x:v>Futuro</x:v>
      </x:c>
      <x:c r="J627" s="43" t="n">
        <x:f>IF(OR(E627="Concluído",A627&gt;=TODAY()),0,TODAY()-A627)</x:f>
        <x:v>0</x:v>
      </x:c>
      <x:c r="K627" s="40" t="str"/>
    </x:row>
    <x:row r="628">
      <x:c r="A628" s="34" t="n">
        <x:v>46367</x:v>
      </x:c>
      <x:c r="B628" s="40" t="str">
        <x:v>Gestão e Governança de Tecnologia da Informação</x:v>
      </x:c>
      <x:c r="C628" s="40" t="str">
        <x:v>26 - Gestão de Projetos - PMBOK 7ª Edição - Domínio de Desempenho do Trabalho do Projeto II</x:v>
      </x:c>
      <x:c r="D628" s="40" t="str">
        <x:v>Videoaula</x:v>
      </x:c>
      <x:c r="E628" s="40" t="str">
        <x:v>Não iniciado</x:v>
      </x:c>
      <x:c r="F628" s="41" t="str"/>
      <x:c r="G628" s="42" t="str"/>
      <x:c r="H628" s="40" t="str">
        <x:v>Normal</x:v>
      </x:c>
      <x:c r="I628" s="40" t="str">
        <x:f>IF(E628="Concluído","Concluído",IF(A628&lt;TODAY(),"Atrasado",IF(A628=TODAY(),"Hoje","Futuro")))</x:f>
        <x:v>Futuro</x:v>
      </x:c>
      <x:c r="J628" s="43" t="n">
        <x:f>IF(OR(E628="Concluído",A628&gt;=TODAY()),0,TODAY()-A628)</x:f>
        <x:v>0</x:v>
      </x:c>
      <x:c r="K628" s="40" t="str"/>
    </x:row>
    <x:row r="629">
      <x:c r="A629" s="34" t="n">
        <x:v>46367</x:v>
      </x:c>
      <x:c r="B629" s="40" t="str">
        <x:v>Gestão e Governança de Tecnologia da Informação</x:v>
      </x:c>
      <x:c r="C629" s="40" t="str">
        <x:v>27 - Gestão de Projetos - PMBOK 7ª Edição - Domínio de Desempenho do Trabalho do Projeto III</x:v>
      </x:c>
      <x:c r="D629" s="40" t="str">
        <x:v>Videoaula</x:v>
      </x:c>
      <x:c r="E629" s="40" t="str">
        <x:v>Não iniciado</x:v>
      </x:c>
      <x:c r="F629" s="41" t="str"/>
      <x:c r="G629" s="42" t="str"/>
      <x:c r="H629" s="40" t="str">
        <x:v>Normal</x:v>
      </x:c>
      <x:c r="I629" s="40" t="str">
        <x:f>IF(E629="Concluído","Concluído",IF(A629&lt;TODAY(),"Atrasado",IF(A629=TODAY(),"Hoje","Futuro")))</x:f>
        <x:v>Futuro</x:v>
      </x:c>
      <x:c r="J629" s="43" t="n">
        <x:f>IF(OR(E629="Concluído",A629&gt;=TODAY()),0,TODAY()-A629)</x:f>
        <x:v>0</x:v>
      </x:c>
      <x:c r="K629" s="40" t="str"/>
    </x:row>
    <x:row r="630">
      <x:c r="A630" s="34" t="n">
        <x:v>46367</x:v>
      </x:c>
      <x:c r="B630" s="40" t="str">
        <x:v>Inteligência Emocional</x:v>
      </x:c>
      <x:c r="C630" s="40" t="str">
        <x:v>30 - ELO 30: A Culpa e o Concurseiro</x:v>
      </x:c>
      <x:c r="D630" s="40" t="str">
        <x:v>Pdf</x:v>
      </x:c>
      <x:c r="E630" s="40" t="str">
        <x:v>Não iniciado</x:v>
      </x:c>
      <x:c r="F630" s="41" t="str"/>
      <x:c r="G630" s="42" t="str"/>
      <x:c r="H630" s="40" t="str">
        <x:v>Normal</x:v>
      </x:c>
      <x:c r="I630" s="40" t="str">
        <x:f>IF(E630="Concluído","Concluído",IF(A630&lt;TODAY(),"Atrasado",IF(A630=TODAY(),"Hoje","Futuro")))</x:f>
        <x:v>Futuro</x:v>
      </x:c>
      <x:c r="J630" s="43" t="n">
        <x:f>IF(OR(E630="Concluído",A630&gt;=TODAY()),0,TODAY()-A630)</x:f>
        <x:v>0</x:v>
      </x:c>
      <x:c r="K630" s="40" t="str"/>
    </x:row>
    <x:row r="631">
      <x:c r="A631" s="34" t="n">
        <x:v>46368</x:v>
      </x:c>
      <x:c r="B631" s="40" t="str">
        <x:v>Inteligência Emocional</x:v>
      </x:c>
      <x:c r="C631" s="40" t="str">
        <x:v>30 - ELO 30: A Culpa e o Concurseiro</x:v>
      </x:c>
      <x:c r="D631" s="40" t="str">
        <x:v>Pdf</x:v>
      </x:c>
      <x:c r="E631" s="40" t="str">
        <x:v>Não iniciado</x:v>
      </x:c>
      <x:c r="F631" s="41" t="str"/>
      <x:c r="G631" s="42" t="str"/>
      <x:c r="H631" s="40" t="str">
        <x:v>Normal</x:v>
      </x:c>
      <x:c r="I631" s="40" t="str">
        <x:f>IF(E631="Concluído","Concluído",IF(A631&lt;TODAY(),"Atrasado",IF(A631=TODAY(),"Hoje","Futuro")))</x:f>
        <x:v>Futuro</x:v>
      </x:c>
      <x:c r="J631" s="43" t="n">
        <x:f>IF(OR(E631="Concluído",A631&gt;=TODAY()),0,TODAY()-A631)</x:f>
        <x:v>0</x:v>
      </x:c>
      <x:c r="K631" s="40" t="str"/>
    </x:row>
    <x:row r="632">
      <x:c r="A632" s="34" t="n">
        <x:v>46368</x:v>
      </x:c>
      <x:c r="B632" s="40" t="str">
        <x:v>Língua Portuguesa</x:v>
      </x:c>
      <x:c r="C632" s="40" t="str">
        <x:v>9 - Onde / Aonde</x:v>
      </x:c>
      <x:c r="D632" s="40" t="str">
        <x:v>Videoaula</x:v>
      </x:c>
      <x:c r="E632" s="40" t="str">
        <x:v>Não iniciado</x:v>
      </x:c>
      <x:c r="F632" s="41" t="str"/>
      <x:c r="G632" s="42" t="str"/>
      <x:c r="H632" s="40" t="str">
        <x:v>Normal</x:v>
      </x:c>
      <x:c r="I632" s="40" t="str">
        <x:f>IF(E632="Concluído","Concluído",IF(A632&lt;TODAY(),"Atrasado",IF(A632=TODAY(),"Hoje","Futuro")))</x:f>
        <x:v>Futuro</x:v>
      </x:c>
      <x:c r="J632" s="43" t="n">
        <x:f>IF(OR(E632="Concluído",A632&gt;=TODAY()),0,TODAY()-A632)</x:f>
        <x:v>0</x:v>
      </x:c>
      <x:c r="K632" s="40" t="str"/>
    </x:row>
    <x:row r="633">
      <x:c r="A633" s="34" t="n">
        <x:v>46368</x:v>
      </x:c>
      <x:c r="B633" s="40" t="str">
        <x:v>Língua Portuguesa</x:v>
      </x:c>
      <x:c r="C633" s="40" t="str">
        <x:v>10 - Orações Subordinadas Adverbiais</x:v>
      </x:c>
      <x:c r="D633" s="40" t="str">
        <x:v>Videoaula</x:v>
      </x:c>
      <x:c r="E633" s="40" t="str">
        <x:v>Não iniciado</x:v>
      </x:c>
      <x:c r="F633" s="41" t="str"/>
      <x:c r="G633" s="42" t="str"/>
      <x:c r="H633" s="40" t="str">
        <x:v>Normal</x:v>
      </x:c>
      <x:c r="I633" s="40" t="str">
        <x:f>IF(E633="Concluído","Concluído",IF(A633&lt;TODAY(),"Atrasado",IF(A633=TODAY(),"Hoje","Futuro")))</x:f>
        <x:v>Futuro</x:v>
      </x:c>
      <x:c r="J633" s="43" t="n">
        <x:f>IF(OR(E633="Concluído",A633&gt;=TODAY()),0,TODAY()-A633)</x:f>
        <x:v>0</x:v>
      </x:c>
      <x:c r="K633" s="40" t="str"/>
    </x:row>
    <x:row r="634">
      <x:c r="A634" s="34" t="n">
        <x:v>46368</x:v>
      </x:c>
      <x:c r="B634" s="40" t="str">
        <x:v>Língua Inglesa</x:v>
      </x:c>
      <x:c r="C634" s="40" t="str">
        <x:v>11 - Língua Inglesa - Subject and Object Pronouns</x:v>
      </x:c>
      <x:c r="D634" s="40" t="str">
        <x:v>Videoaula</x:v>
      </x:c>
      <x:c r="E634" s="40" t="str">
        <x:v>Não iniciado</x:v>
      </x:c>
      <x:c r="F634" s="41" t="str"/>
      <x:c r="G634" s="42" t="str"/>
      <x:c r="H634" s="40" t="str">
        <x:v>Normal</x:v>
      </x:c>
      <x:c r="I634" s="40" t="str">
        <x:f>IF(E634="Concluído","Concluído",IF(A634&lt;TODAY(),"Atrasado",IF(A634=TODAY(),"Hoje","Futuro")))</x:f>
        <x:v>Futuro</x:v>
      </x:c>
      <x:c r="J634" s="43" t="n">
        <x:f>IF(OR(E634="Concluído",A634&gt;=TODAY()),0,TODAY()-A634)</x:f>
        <x:v>0</x:v>
      </x:c>
      <x:c r="K634" s="40" t="str"/>
    </x:row>
    <x:row r="635">
      <x:c r="A635" s="34" t="n">
        <x:v>46369</x:v>
      </x:c>
      <x:c r="B635" s="40" t="str">
        <x:v>Língua Inglesa</x:v>
      </x:c>
      <x:c r="C635" s="40" t="str">
        <x:v>11 - Língua Inglesa - Subject and Object Pronouns</x:v>
      </x:c>
      <x:c r="D635" s="40" t="str">
        <x:v>Videoaula</x:v>
      </x:c>
      <x:c r="E635" s="40" t="str">
        <x:v>Não iniciado</x:v>
      </x:c>
      <x:c r="F635" s="41" t="str"/>
      <x:c r="G635" s="42" t="str"/>
      <x:c r="H635" s="40" t="str">
        <x:v>Normal</x:v>
      </x:c>
      <x:c r="I635" s="40" t="str">
        <x:f>IF(E635="Concluído","Concluído",IF(A635&lt;TODAY(),"Atrasado",IF(A635=TODAY(),"Hoje","Futuro")))</x:f>
        <x:v>Futuro</x:v>
      </x:c>
      <x:c r="J635" s="43" t="n">
        <x:f>IF(OR(E635="Concluído",A635&gt;=TODAY()),0,TODAY()-A635)</x:f>
        <x:v>0</x:v>
      </x:c>
      <x:c r="K635" s="40" t="str"/>
    </x:row>
    <x:row r="636">
      <x:c r="A636" s="34" t="n">
        <x:v>46369</x:v>
      </x:c>
      <x:c r="B636" s="40" t="str">
        <x:v>Língua Inglesa</x:v>
      </x:c>
      <x:c r="C636" s="40" t="str">
        <x:v>12 - Língua Inglesa - Pronomes Possessivos e Adjetivos</x:v>
      </x:c>
      <x:c r="D636" s="40" t="str">
        <x:v>Videoaula</x:v>
      </x:c>
      <x:c r="E636" s="40" t="str">
        <x:v>Não iniciado</x:v>
      </x:c>
      <x:c r="F636" s="41" t="str"/>
      <x:c r="G636" s="42" t="str"/>
      <x:c r="H636" s="40" t="str">
        <x:v>Normal</x:v>
      </x:c>
      <x:c r="I636" s="40" t="str">
        <x:f>IF(E636="Concluído","Concluído",IF(A636&lt;TODAY(),"Atrasado",IF(A636=TODAY(),"Hoje","Futuro")))</x:f>
        <x:v>Futuro</x:v>
      </x:c>
      <x:c r="J636" s="43" t="n">
        <x:f>IF(OR(E636="Concluído",A636&gt;=TODAY()),0,TODAY()-A636)</x:f>
        <x:v>0</x:v>
      </x:c>
      <x:c r="K636" s="40" t="str"/>
    </x:row>
    <x:row r="637">
      <x:c r="A637" s="34" t="n">
        <x:v>46369</x:v>
      </x:c>
      <x:c r="B637" s="40" t="str">
        <x:v>Atualidades e Inteligência Artificial</x:v>
      </x:c>
      <x:c r="C637" s="40" t="str">
        <x:v>29 - RNN e LSTM</x:v>
      </x:c>
      <x:c r="D637" s="40" t="str">
        <x:v>Videoaula</x:v>
      </x:c>
      <x:c r="E637" s="40" t="str">
        <x:v>Não iniciado</x:v>
      </x:c>
      <x:c r="F637" s="41" t="str"/>
      <x:c r="G637" s="42" t="str"/>
      <x:c r="H637" s="40" t="str">
        <x:v>Normal</x:v>
      </x:c>
      <x:c r="I637" s="40" t="str">
        <x:f>IF(E637="Concluído","Concluído",IF(A637&lt;TODAY(),"Atrasado",IF(A637=TODAY(),"Hoje","Futuro")))</x:f>
        <x:v>Futuro</x:v>
      </x:c>
      <x:c r="J637" s="43" t="n">
        <x:f>IF(OR(E637="Concluído",A637&gt;=TODAY()),0,TODAY()-A637)</x:f>
        <x:v>0</x:v>
      </x:c>
      <x:c r="K637" s="40" t="str"/>
    </x:row>
    <x:row r="638">
      <x:c r="A638" s="34" t="n">
        <x:v>46369</x:v>
      </x:c>
      <x:c r="B638" s="40" t="str">
        <x:v>Atualidades e Inteligência Artificial</x:v>
      </x:c>
      <x:c r="C638" s="40" t="str">
        <x:v>30 - PLN - Introdução</x:v>
      </x:c>
      <x:c r="D638" s="40" t="str">
        <x:v>Videoaula</x:v>
      </x:c>
      <x:c r="E638" s="40" t="str">
        <x:v>Não iniciado</x:v>
      </x:c>
      <x:c r="F638" s="41" t="str"/>
      <x:c r="G638" s="42" t="str"/>
      <x:c r="H638" s="40" t="str">
        <x:v>Normal</x:v>
      </x:c>
      <x:c r="I638" s="40" t="str">
        <x:f>IF(E638="Concluído","Concluído",IF(A638&lt;TODAY(),"Atrasado",IF(A638=TODAY(),"Hoje","Futuro")))</x:f>
        <x:v>Futuro</x:v>
      </x:c>
      <x:c r="J638" s="43" t="n">
        <x:f>IF(OR(E638="Concluído",A638&gt;=TODAY()),0,TODAY()-A638)</x:f>
        <x:v>0</x:v>
      </x:c>
      <x:c r="K638" s="40" t="str"/>
    </x:row>
    <x:row r="639">
      <x:c r="A639" s="34" t="n">
        <x:v>46369</x:v>
      </x:c>
      <x:c r="B639" s="40" t="str">
        <x:v>Gestão e Governança de Tecnologia da Informação</x:v>
      </x:c>
      <x:c r="C639" s="40" t="str">
        <x:v>28 - Gestão de Projetos - PMBOK 7ª Edição - Domínio de Desempenho do Trabalho do Projeto IV</x:v>
      </x:c>
      <x:c r="D639" s="40" t="str">
        <x:v>Videoaula</x:v>
      </x:c>
      <x:c r="E639" s="40" t="str">
        <x:v>Não iniciado</x:v>
      </x:c>
      <x:c r="F639" s="41" t="str"/>
      <x:c r="G639" s="42" t="str"/>
      <x:c r="H639" s="40" t="str">
        <x:v>Normal</x:v>
      </x:c>
      <x:c r="I639" s="40" t="str">
        <x:f>IF(E639="Concluído","Concluído",IF(A639&lt;TODAY(),"Atrasado",IF(A639=TODAY(),"Hoje","Futuro")))</x:f>
        <x:v>Futuro</x:v>
      </x:c>
      <x:c r="J639" s="43" t="n">
        <x:f>IF(OR(E639="Concluído",A639&gt;=TODAY()),0,TODAY()-A639)</x:f>
        <x:v>0</x:v>
      </x:c>
      <x:c r="K639" s="40" t="str"/>
    </x:row>
    <x:row r="640">
      <x:c r="A640" s="34" t="n">
        <x:v>46369</x:v>
      </x:c>
      <x:c r="B640" s="40" t="str">
        <x:v>Revisão</x:v>
      </x:c>
      <x:c r="C640" s="40" t="str">
        <x:v>Revisão</x:v>
      </x:c>
      <x:c r="D640" s="40" t="str">
        <x:v>Revisao</x:v>
      </x:c>
      <x:c r="E640" s="40" t="str">
        <x:v>Não iniciado</x:v>
      </x:c>
      <x:c r="F640" s="41" t="str"/>
      <x:c r="G640" s="42" t="str"/>
      <x:c r="H640" s="40" t="str">
        <x:v>Normal</x:v>
      </x:c>
      <x:c r="I640" s="40" t="str">
        <x:f>IF(E640="Concluído","Concluído",IF(A640&lt;TODAY(),"Atrasado",IF(A640=TODAY(),"Hoje","Futuro")))</x:f>
        <x:v>Futuro</x:v>
      </x:c>
      <x:c r="J640" s="43" t="n">
        <x:f>IF(OR(E640="Concluído",A640&gt;=TODAY()),0,TODAY()-A640)</x:f>
        <x:v>0</x:v>
      </x:c>
      <x:c r="K640" s="40" t="str"/>
    </x:row>
    <x:row r="641">
      <x:c r="A641" s="34" t="n">
        <x:v>46370</x:v>
      </x:c>
      <x:c r="B641" s="40" t="str">
        <x:v>Gestão e Governança de Tecnologia da Informação</x:v>
      </x:c>
      <x:c r="C641" s="40" t="str">
        <x:v>29 - Gestão de Projetos - PMBOK 7ª Edição - Domínio de Desempenho da Medição</x:v>
      </x:c>
      <x:c r="D641" s="40" t="str">
        <x:v>Videoaula</x:v>
      </x:c>
      <x:c r="E641" s="40" t="str">
        <x:v>Não iniciado</x:v>
      </x:c>
      <x:c r="F641" s="41" t="str"/>
      <x:c r="G641" s="42" t="str"/>
      <x:c r="H641" s="40" t="str">
        <x:v>Normal</x:v>
      </x:c>
      <x:c r="I641" s="40" t="str">
        <x:f>IF(E641="Concluído","Concluído",IF(A641&lt;TODAY(),"Atrasado",IF(A641=TODAY(),"Hoje","Futuro")))</x:f>
        <x:v>Futuro</x:v>
      </x:c>
      <x:c r="J641" s="43" t="n">
        <x:f>IF(OR(E641="Concluído",A641&gt;=TODAY()),0,TODAY()-A641)</x:f>
        <x:v>0</x:v>
      </x:c>
      <x:c r="K641" s="40" t="str"/>
    </x:row>
    <x:row r="642">
      <x:c r="A642" s="34" t="n">
        <x:v>46370</x:v>
      </x:c>
      <x:c r="B642" s="40" t="str">
        <x:v>Inteligência Emocional</x:v>
      </x:c>
      <x:c r="C642" s="40" t="str">
        <x:v>31 - ELO 31: A Coragem e o Concurseiro</x:v>
      </x:c>
      <x:c r="D642" s="40" t="str">
        <x:v>Pdf</x:v>
      </x:c>
      <x:c r="E642" s="40" t="str">
        <x:v>Não iniciado</x:v>
      </x:c>
      <x:c r="F642" s="41" t="str"/>
      <x:c r="G642" s="42" t="str"/>
      <x:c r="H642" s="40" t="str">
        <x:v>Normal</x:v>
      </x:c>
      <x:c r="I642" s="40" t="str">
        <x:f>IF(E642="Concluído","Concluído",IF(A642&lt;TODAY(),"Atrasado",IF(A642=TODAY(),"Hoje","Futuro")))</x:f>
        <x:v>Futuro</x:v>
      </x:c>
      <x:c r="J642" s="43" t="n">
        <x:f>IF(OR(E642="Concluído",A642&gt;=TODAY()),0,TODAY()-A642)</x:f>
        <x:v>0</x:v>
      </x:c>
      <x:c r="K642" s="40" t="str"/>
    </x:row>
    <x:row r="643">
      <x:c r="A643" s="34" t="n">
        <x:v>46370</x:v>
      </x:c>
      <x:c r="B643" s="40" t="str">
        <x:v>Língua Portuguesa</x:v>
      </x:c>
      <x:c r="C643" s="40" t="str">
        <x:v>1 - Orações Coordenadas</x:v>
      </x:c>
      <x:c r="D643" s="40" t="str">
        <x:v>Videoaula</x:v>
      </x:c>
      <x:c r="E643" s="40" t="str">
        <x:v>Não iniciado</x:v>
      </x:c>
      <x:c r="F643" s="41" t="str"/>
      <x:c r="G643" s="42" t="str"/>
      <x:c r="H643" s="40" t="str">
        <x:v>Normal</x:v>
      </x:c>
      <x:c r="I643" s="40" t="str">
        <x:f>IF(E643="Concluído","Concluído",IF(A643&lt;TODAY(),"Atrasado",IF(A643=TODAY(),"Hoje","Futuro")))</x:f>
        <x:v>Futuro</x:v>
      </x:c>
      <x:c r="J643" s="43" t="n">
        <x:f>IF(OR(E643="Concluído",A643&gt;=TODAY()),0,TODAY()-A643)</x:f>
        <x:v>0</x:v>
      </x:c>
      <x:c r="K643" s="40" t="str"/>
    </x:row>
    <x:row r="644">
      <x:c r="A644" s="34" t="n">
        <x:v>46370</x:v>
      </x:c>
      <x:c r="B644" s="40" t="str">
        <x:v>Língua Portuguesa</x:v>
      </x:c>
      <x:c r="C644" s="40" t="str">
        <x:v>2 - Orações Coordenadas (Adversativas)</x:v>
      </x:c>
      <x:c r="D644" s="40" t="str">
        <x:v>Videoaula</x:v>
      </x:c>
      <x:c r="E644" s="40" t="str">
        <x:v>Não iniciado</x:v>
      </x:c>
      <x:c r="F644" s="41" t="str"/>
      <x:c r="G644" s="42" t="str"/>
      <x:c r="H644" s="40" t="str">
        <x:v>Normal</x:v>
      </x:c>
      <x:c r="I644" s="40" t="str">
        <x:f>IF(E644="Concluído","Concluído",IF(A644&lt;TODAY(),"Atrasado",IF(A644=TODAY(),"Hoje","Futuro")))</x:f>
        <x:v>Futuro</x:v>
      </x:c>
      <x:c r="J644" s="43" t="n">
        <x:f>IF(OR(E644="Concluído",A644&gt;=TODAY()),0,TODAY()-A644)</x:f>
        <x:v>0</x:v>
      </x:c>
      <x:c r="K644" s="40" t="str"/>
    </x:row>
    <x:row r="645">
      <x:c r="A645" s="34" t="n">
        <x:v>46371</x:v>
      </x:c>
      <x:c r="B645" s="40" t="str">
        <x:v>Língua Portuguesa</x:v>
      </x:c>
      <x:c r="C645" s="40" t="str">
        <x:v>2 - Orações Coordenadas (Adversativas)</x:v>
      </x:c>
      <x:c r="D645" s="40" t="str">
        <x:v>Videoaula</x:v>
      </x:c>
      <x:c r="E645" s="40" t="str">
        <x:v>Não iniciado</x:v>
      </x:c>
      <x:c r="F645" s="41" t="str"/>
      <x:c r="G645" s="42" t="str"/>
      <x:c r="H645" s="40" t="str">
        <x:v>Normal</x:v>
      </x:c>
      <x:c r="I645" s="40" t="str">
        <x:f>IF(E645="Concluído","Concluído",IF(A645&lt;TODAY(),"Atrasado",IF(A645=TODAY(),"Hoje","Futuro")))</x:f>
        <x:v>Futuro</x:v>
      </x:c>
      <x:c r="J645" s="43" t="n">
        <x:f>IF(OR(E645="Concluído",A645&gt;=TODAY()),0,TODAY()-A645)</x:f>
        <x:v>0</x:v>
      </x:c>
      <x:c r="K645" s="40" t="str"/>
    </x:row>
    <x:row r="646">
      <x:c r="A646" s="34" t="n">
        <x:v>46371</x:v>
      </x:c>
      <x:c r="B646" s="40" t="str">
        <x:v>Língua Inglesa</x:v>
      </x:c>
      <x:c r="C646" s="40" t="str">
        <x:v>13 - Língua Inglesa - Genitive Case</x:v>
      </x:c>
      <x:c r="D646" s="40" t="str">
        <x:v>Videoaula</x:v>
      </x:c>
      <x:c r="E646" s="40" t="str">
        <x:v>Não iniciado</x:v>
      </x:c>
      <x:c r="F646" s="41" t="str"/>
      <x:c r="G646" s="42" t="str"/>
      <x:c r="H646" s="40" t="str">
        <x:v>Normal</x:v>
      </x:c>
      <x:c r="I646" s="40" t="str">
        <x:f>IF(E646="Concluído","Concluído",IF(A646&lt;TODAY(),"Atrasado",IF(A646=TODAY(),"Hoje","Futuro")))</x:f>
        <x:v>Futuro</x:v>
      </x:c>
      <x:c r="J646" s="43" t="n">
        <x:f>IF(OR(E646="Concluído",A646&gt;=TODAY()),0,TODAY()-A646)</x:f>
        <x:v>0</x:v>
      </x:c>
      <x:c r="K646" s="40" t="str"/>
    </x:row>
    <x:row r="647">
      <x:c r="A647" s="34" t="n">
        <x:v>46371</x:v>
      </x:c>
      <x:c r="B647" s="40" t="str">
        <x:v>Língua Inglesa</x:v>
      </x:c>
      <x:c r="C647" s="40" t="str">
        <x:v>14 - Língua Inglesa - Quantifiers</x:v>
      </x:c>
      <x:c r="D647" s="40" t="str">
        <x:v>Videoaula</x:v>
      </x:c>
      <x:c r="E647" s="40" t="str">
        <x:v>Não iniciado</x:v>
      </x:c>
      <x:c r="F647" s="41" t="str"/>
      <x:c r="G647" s="42" t="str"/>
      <x:c r="H647" s="40" t="str">
        <x:v>Normal</x:v>
      </x:c>
      <x:c r="I647" s="40" t="str">
        <x:f>IF(E647="Concluído","Concluído",IF(A647&lt;TODAY(),"Atrasado",IF(A647=TODAY(),"Hoje","Futuro")))</x:f>
        <x:v>Futuro</x:v>
      </x:c>
      <x:c r="J647" s="43" t="n">
        <x:f>IF(OR(E647="Concluído",A647&gt;=TODAY()),0,TODAY()-A647)</x:f>
        <x:v>0</x:v>
      </x:c>
      <x:c r="K647" s="40" t="str"/>
    </x:row>
    <x:row r="648">
      <x:c r="A648" s="34" t="n">
        <x:v>46371</x:v>
      </x:c>
      <x:c r="B648" s="40" t="str">
        <x:v>Atualidades e Inteligência Artificial</x:v>
      </x:c>
      <x:c r="C648" s="40" t="str">
        <x:v>31 - PLN - Pré - Processamento</x:v>
      </x:c>
      <x:c r="D648" s="40" t="str">
        <x:v>Videoaula</x:v>
      </x:c>
      <x:c r="E648" s="40" t="str">
        <x:v>Não iniciado</x:v>
      </x:c>
      <x:c r="F648" s="41" t="str"/>
      <x:c r="G648" s="42" t="str"/>
      <x:c r="H648" s="40" t="str">
        <x:v>Normal</x:v>
      </x:c>
      <x:c r="I648" s="40" t="str">
        <x:f>IF(E648="Concluído","Concluído",IF(A648&lt;TODAY(),"Atrasado",IF(A648=TODAY(),"Hoje","Futuro")))</x:f>
        <x:v>Futuro</x:v>
      </x:c>
      <x:c r="J648" s="43" t="n">
        <x:f>IF(OR(E648="Concluído",A648&gt;=TODAY()),0,TODAY()-A648)</x:f>
        <x:v>0</x:v>
      </x:c>
      <x:c r="K648" s="40" t="str"/>
    </x:row>
    <x:row r="649">
      <x:c r="A649" s="34" t="n">
        <x:v>46372</x:v>
      </x:c>
      <x:c r="B649" s="40" t="str">
        <x:v>Atualidades e Inteligência Artificial</x:v>
      </x:c>
      <x:c r="C649" s="40" t="str">
        <x:v>31 - PLN - Pré - Processamento</x:v>
      </x:c>
      <x:c r="D649" s="40" t="str">
        <x:v>Videoaula</x:v>
      </x:c>
      <x:c r="E649" s="40" t="str">
        <x:v>Não iniciado</x:v>
      </x:c>
      <x:c r="F649" s="41" t="str"/>
      <x:c r="G649" s="42" t="str"/>
      <x:c r="H649" s="40" t="str">
        <x:v>Normal</x:v>
      </x:c>
      <x:c r="I649" s="40" t="str">
        <x:f>IF(E649="Concluído","Concluído",IF(A649&lt;TODAY(),"Atrasado",IF(A649=TODAY(),"Hoje","Futuro")))</x:f>
        <x:v>Futuro</x:v>
      </x:c>
      <x:c r="J649" s="43" t="n">
        <x:f>IF(OR(E649="Concluído",A649&gt;=TODAY()),0,TODAY()-A649)</x:f>
        <x:v>0</x:v>
      </x:c>
      <x:c r="K649" s="40" t="str"/>
    </x:row>
    <x:row r="650">
      <x:c r="A650" s="34" t="n">
        <x:v>46372</x:v>
      </x:c>
      <x:c r="B650" s="40" t="str">
        <x:v>Atualidades e Inteligência Artificial</x:v>
      </x:c>
      <x:c r="C650" s="40" t="str">
        <x:v>32 - PLN - Vetorização</x:v>
      </x:c>
      <x:c r="D650" s="40" t="str">
        <x:v>Videoaula</x:v>
      </x:c>
      <x:c r="E650" s="40" t="str">
        <x:v>Não iniciado</x:v>
      </x:c>
      <x:c r="F650" s="41" t="str"/>
      <x:c r="G650" s="42" t="str"/>
      <x:c r="H650" s="40" t="str">
        <x:v>Normal</x:v>
      </x:c>
      <x:c r="I650" s="40" t="str">
        <x:f>IF(E650="Concluído","Concluído",IF(A650&lt;TODAY(),"Atrasado",IF(A650=TODAY(),"Hoje","Futuro")))</x:f>
        <x:v>Futuro</x:v>
      </x:c>
      <x:c r="J650" s="43" t="n">
        <x:f>IF(OR(E650="Concluído",A650&gt;=TODAY()),0,TODAY()-A650)</x:f>
        <x:v>0</x:v>
      </x:c>
      <x:c r="K650" s="40" t="str"/>
    </x:row>
    <x:row r="651">
      <x:c r="A651" s="34" t="n">
        <x:v>46372</x:v>
      </x:c>
      <x:c r="B651" s="40" t="str">
        <x:v>Gestão e Governança de Tecnologia da Informação</x:v>
      </x:c>
      <x:c r="C651" s="40" t="str">
        <x:v>30 - Gestão de Projetos - PMBOK 7ª Edição - Domínio de Desempenho da Medição II</x:v>
      </x:c>
      <x:c r="D651" s="40" t="str">
        <x:v>Videoaula</x:v>
      </x:c>
      <x:c r="E651" s="40" t="str">
        <x:v>Não iniciado</x:v>
      </x:c>
      <x:c r="F651" s="41" t="str"/>
      <x:c r="G651" s="42" t="str"/>
      <x:c r="H651" s="40" t="str">
        <x:v>Normal</x:v>
      </x:c>
      <x:c r="I651" s="40" t="str">
        <x:f>IF(E651="Concluído","Concluído",IF(A651&lt;TODAY(),"Atrasado",IF(A651=TODAY(),"Hoje","Futuro")))</x:f>
        <x:v>Futuro</x:v>
      </x:c>
      <x:c r="J651" s="43" t="n">
        <x:f>IF(OR(E651="Concluído",A651&gt;=TODAY()),0,TODAY()-A651)</x:f>
        <x:v>0</x:v>
      </x:c>
      <x:c r="K651" s="40" t="str"/>
    </x:row>
    <x:row r="652">
      <x:c r="A652" s="34" t="n">
        <x:v>46372</x:v>
      </x:c>
      <x:c r="B652" s="40" t="str">
        <x:v>Gestão e Governança de Tecnologia da Informação</x:v>
      </x:c>
      <x:c r="C652" s="40" t="str">
        <x:v>31 - Gestão de Projetos - PMBOK 7ª Edição - Domínio de Desempenho da Incerteza</x:v>
      </x:c>
      <x:c r="D652" s="40" t="str">
        <x:v>Videoaula</x:v>
      </x:c>
      <x:c r="E652" s="40" t="str">
        <x:v>Não iniciado</x:v>
      </x:c>
      <x:c r="F652" s="41" t="str"/>
      <x:c r="G652" s="42" t="str"/>
      <x:c r="H652" s="40" t="str">
        <x:v>Normal</x:v>
      </x:c>
      <x:c r="I652" s="40" t="str">
        <x:f>IF(E652="Concluído","Concluído",IF(A652&lt;TODAY(),"Atrasado",IF(A652=TODAY(),"Hoje","Futuro")))</x:f>
        <x:v>Futuro</x:v>
      </x:c>
      <x:c r="J652" s="43" t="n">
        <x:f>IF(OR(E652="Concluído",A652&gt;=TODAY()),0,TODAY()-A652)</x:f>
        <x:v>0</x:v>
      </x:c>
      <x:c r="K652" s="40" t="str"/>
    </x:row>
    <x:row r="653">
      <x:c r="A653" s="34" t="n">
        <x:v>46373</x:v>
      </x:c>
      <x:c r="B653" s="40" t="str">
        <x:v>Inteligência Emocional</x:v>
      </x:c>
      <x:c r="C653" s="40" t="str">
        <x:v>32 - ELO 32: O Concurseiro Protagonista</x:v>
      </x:c>
      <x:c r="D653" s="40" t="str">
        <x:v>Pdf</x:v>
      </x:c>
      <x:c r="E653" s="40" t="str">
        <x:v>Não iniciado</x:v>
      </x:c>
      <x:c r="F653" s="41" t="str"/>
      <x:c r="G653" s="42" t="str"/>
      <x:c r="H653" s="40" t="str">
        <x:v>Normal</x:v>
      </x:c>
      <x:c r="I653" s="40" t="str">
        <x:f>IF(E653="Concluído","Concluído",IF(A653&lt;TODAY(),"Atrasado",IF(A653=TODAY(),"Hoje","Futuro")))</x:f>
        <x:v>Futuro</x:v>
      </x:c>
      <x:c r="J653" s="43" t="n">
        <x:f>IF(OR(E653="Concluído",A653&gt;=TODAY()),0,TODAY()-A653)</x:f>
        <x:v>0</x:v>
      </x:c>
      <x:c r="K653" s="40" t="str"/>
    </x:row>
    <x:row r="654">
      <x:c r="A654" s="34" t="n">
        <x:v>46373</x:v>
      </x:c>
      <x:c r="B654" s="40" t="str">
        <x:v>Língua Portuguesa</x:v>
      </x:c>
      <x:c r="C654" s="40" t="str">
        <x:v>3 - Orações Coordenadas - Exercícios</x:v>
      </x:c>
      <x:c r="D654" s="40" t="str">
        <x:v>Videoaula</x:v>
      </x:c>
      <x:c r="E654" s="40" t="str">
        <x:v>Não iniciado</x:v>
      </x:c>
      <x:c r="F654" s="41" t="str"/>
      <x:c r="G654" s="42" t="str"/>
      <x:c r="H654" s="40" t="str">
        <x:v>Normal</x:v>
      </x:c>
      <x:c r="I654" s="40" t="str">
        <x:f>IF(E654="Concluído","Concluído",IF(A654&lt;TODAY(),"Atrasado",IF(A654=TODAY(),"Hoje","Futuro")))</x:f>
        <x:v>Futuro</x:v>
      </x:c>
      <x:c r="J654" s="43" t="n">
        <x:f>IF(OR(E654="Concluído",A654&gt;=TODAY()),0,TODAY()-A654)</x:f>
        <x:v>0</x:v>
      </x:c>
      <x:c r="K654" s="40" t="str"/>
    </x:row>
    <x:row r="655">
      <x:c r="A655" s="34" t="n">
        <x:v>46373</x:v>
      </x:c>
      <x:c r="B655" s="40" t="str">
        <x:v>Língua Portuguesa</x:v>
      </x:c>
      <x:c r="C655" s="40" t="str">
        <x:v>4 - Adversativas x Concessivas</x:v>
      </x:c>
      <x:c r="D655" s="40" t="str">
        <x:v>Videoaula</x:v>
      </x:c>
      <x:c r="E655" s="40" t="str">
        <x:v>Não iniciado</x:v>
      </x:c>
      <x:c r="F655" s="41" t="str"/>
      <x:c r="G655" s="42" t="str"/>
      <x:c r="H655" s="40" t="str">
        <x:v>Normal</x:v>
      </x:c>
      <x:c r="I655" s="40" t="str">
        <x:f>IF(E655="Concluído","Concluído",IF(A655&lt;TODAY(),"Atrasado",IF(A655=TODAY(),"Hoje","Futuro")))</x:f>
        <x:v>Futuro</x:v>
      </x:c>
      <x:c r="J655" s="43" t="n">
        <x:f>IF(OR(E655="Concluído",A655&gt;=TODAY()),0,TODAY()-A655)</x:f>
        <x:v>0</x:v>
      </x:c>
      <x:c r="K655" s="40" t="str"/>
    </x:row>
    <x:row r="656">
      <x:c r="A656" s="34" t="n">
        <x:v>46373</x:v>
      </x:c>
      <x:c r="B656" s="40" t="str">
        <x:v>Língua Inglesa</x:v>
      </x:c>
      <x:c r="C656" s="40" t="str">
        <x:v>15 - Língua Inglesa - Sinonímia</x:v>
      </x:c>
      <x:c r="D656" s="40" t="str">
        <x:v>Videoaula</x:v>
      </x:c>
      <x:c r="E656" s="40" t="str">
        <x:v>Não iniciado</x:v>
      </x:c>
      <x:c r="F656" s="41" t="str"/>
      <x:c r="G656" s="42" t="str"/>
      <x:c r="H656" s="40" t="str">
        <x:v>Normal</x:v>
      </x:c>
      <x:c r="I656" s="40" t="str">
        <x:f>IF(E656="Concluído","Concluído",IF(A656&lt;TODAY(),"Atrasado",IF(A656=TODAY(),"Hoje","Futuro")))</x:f>
        <x:v>Futuro</x:v>
      </x:c>
      <x:c r="J656" s="43" t="n">
        <x:f>IF(OR(E656="Concluído",A656&gt;=TODAY()),0,TODAY()-A656)</x:f>
        <x:v>0</x:v>
      </x:c>
      <x:c r="K656" s="40" t="str"/>
    </x:row>
    <x:row r="657">
      <x:c r="A657" s="34" t="n">
        <x:v>46374</x:v>
      </x:c>
      <x:c r="B657" s="40" t="str">
        <x:v>Língua Inglesa</x:v>
      </x:c>
      <x:c r="C657" s="40" t="str">
        <x:v>15 - Língua Inglesa - Sinonímia</x:v>
      </x:c>
      <x:c r="D657" s="40" t="str">
        <x:v>Videoaula</x:v>
      </x:c>
      <x:c r="E657" s="40" t="str">
        <x:v>Não iniciado</x:v>
      </x:c>
      <x:c r="F657" s="41" t="str"/>
      <x:c r="G657" s="42" t="str"/>
      <x:c r="H657" s="40" t="str">
        <x:v>Normal</x:v>
      </x:c>
      <x:c r="I657" s="40" t="str">
        <x:f>IF(E657="Concluído","Concluído",IF(A657&lt;TODAY(),"Atrasado",IF(A657=TODAY(),"Hoje","Futuro")))</x:f>
        <x:v>Futuro</x:v>
      </x:c>
      <x:c r="J657" s="43" t="n">
        <x:f>IF(OR(E657="Concluído",A657&gt;=TODAY()),0,TODAY()-A657)</x:f>
        <x:v>0</x:v>
      </x:c>
      <x:c r="K657" s="40" t="str"/>
    </x:row>
    <x:row r="658">
      <x:c r="A658" s="34" t="n">
        <x:v>46374</x:v>
      </x:c>
      <x:c r="B658" s="40" t="str">
        <x:v>Língua Inglesa</x:v>
      </x:c>
      <x:c r="C658" s="40" t="str">
        <x:v>16 - Língua Inglesa - O Segredo do Pronome IT</x:v>
      </x:c>
      <x:c r="D658" s="40" t="str">
        <x:v>Videoaula</x:v>
      </x:c>
      <x:c r="E658" s="40" t="str">
        <x:v>Não iniciado</x:v>
      </x:c>
      <x:c r="F658" s="41" t="str"/>
      <x:c r="G658" s="42" t="str"/>
      <x:c r="H658" s="40" t="str">
        <x:v>Normal</x:v>
      </x:c>
      <x:c r="I658" s="40" t="str">
        <x:f>IF(E658="Concluído","Concluído",IF(A658&lt;TODAY(),"Atrasado",IF(A658=TODAY(),"Hoje","Futuro")))</x:f>
        <x:v>Futuro</x:v>
      </x:c>
      <x:c r="J658" s="43" t="n">
        <x:f>IF(OR(E658="Concluído",A658&gt;=TODAY()),0,TODAY()-A658)</x:f>
        <x:v>0</x:v>
      </x:c>
      <x:c r="K658" s="40" t="str"/>
    </x:row>
    <x:row r="659">
      <x:c r="A659" s="34" t="n">
        <x:v>46374</x:v>
      </x:c>
      <x:c r="B659" s="40" t="str">
        <x:v>Atualidades e Inteligência Artificial</x:v>
      </x:c>
      <x:c r="C659" s="40" t="str">
        <x:v>33 - Governança e Ética na IA</x:v>
      </x:c>
      <x:c r="D659" s="40" t="str">
        <x:v>Videoaula</x:v>
      </x:c>
      <x:c r="E659" s="40" t="str">
        <x:v>Não iniciado</x:v>
      </x:c>
      <x:c r="F659" s="41" t="str"/>
      <x:c r="G659" s="42" t="str"/>
      <x:c r="H659" s="40" t="str">
        <x:v>Normal</x:v>
      </x:c>
      <x:c r="I659" s="40" t="str">
        <x:f>IF(E659="Concluído","Concluído",IF(A659&lt;TODAY(),"Atrasado",IF(A659=TODAY(),"Hoje","Futuro")))</x:f>
        <x:v>Futuro</x:v>
      </x:c>
      <x:c r="J659" s="43" t="n">
        <x:f>IF(OR(E659="Concluído",A659&gt;=TODAY()),0,TODAY()-A659)</x:f>
        <x:v>0</x:v>
      </x:c>
      <x:c r="K659" s="40" t="str"/>
    </x:row>
    <x:row r="660">
      <x:c r="A660" s="34" t="n">
        <x:v>46374</x:v>
      </x:c>
      <x:c r="B660" s="40" t="str">
        <x:v>Atualidades e Inteligência Artificial</x:v>
      </x:c>
      <x:c r="C660" s="40" t="str">
        <x:v>34 - Grandes Modelos de Linguagem (LLM) e IA Generativa</x:v>
      </x:c>
      <x:c r="D660" s="40" t="str">
        <x:v>Videoaula</x:v>
      </x:c>
      <x:c r="E660" s="40" t="str">
        <x:v>Não iniciado</x:v>
      </x:c>
      <x:c r="F660" s="41" t="str"/>
      <x:c r="G660" s="42" t="str"/>
      <x:c r="H660" s="40" t="str">
        <x:v>Normal</x:v>
      </x:c>
      <x:c r="I660" s="40" t="str">
        <x:f>IF(E660="Concluído","Concluído",IF(A660&lt;TODAY(),"Atrasado",IF(A660=TODAY(),"Hoje","Futuro")))</x:f>
        <x:v>Futuro</x:v>
      </x:c>
      <x:c r="J660" s="43" t="n">
        <x:f>IF(OR(E660="Concluído",A660&gt;=TODAY()),0,TODAY()-A660)</x:f>
        <x:v>0</x:v>
      </x:c>
      <x:c r="K660" s="40" t="str"/>
    </x:row>
    <x:row r="661">
      <x:c r="A661" s="34" t="n">
        <x:v>46374</x:v>
      </x:c>
      <x:c r="B661" s="40" t="str">
        <x:v>Gestão e Governança de Tecnologia da Informação</x:v>
      </x:c>
      <x:c r="C661" s="40" t="str">
        <x:v>32 - Gestão de Projetos - PMBOK 7ª Edição - Domínio de Desempenho da Incerteza II</x:v>
      </x:c>
      <x:c r="D661" s="40" t="str">
        <x:v>Videoaula</x:v>
      </x:c>
      <x:c r="E661" s="40" t="str">
        <x:v>Não iniciado</x:v>
      </x:c>
      <x:c r="F661" s="41" t="str"/>
      <x:c r="G661" s="42" t="str"/>
      <x:c r="H661" s="40" t="str">
        <x:v>Normal</x:v>
      </x:c>
      <x:c r="I661" s="40" t="str">
        <x:f>IF(E661="Concluído","Concluído",IF(A661&lt;TODAY(),"Atrasado",IF(A661=TODAY(),"Hoje","Futuro")))</x:f>
        <x:v>Futuro</x:v>
      </x:c>
      <x:c r="J661" s="43" t="n">
        <x:f>IF(OR(E661="Concluído",A661&gt;=TODAY()),0,TODAY()-A661)</x:f>
        <x:v>0</x:v>
      </x:c>
      <x:c r="K661" s="40" t="str"/>
    </x:row>
    <x:row r="662">
      <x:c r="A662" s="34" t="n">
        <x:v>46375</x:v>
      </x:c>
      <x:c r="B662" s="40" t="str">
        <x:v>Gestão e Governança de Tecnologia da Informação</x:v>
      </x:c>
      <x:c r="C662" s="40" t="str">
        <x:v>32 - Gestão de Projetos - PMBOK 7ª Edição - Domínio de Desempenho da Incerteza II</x:v>
      </x:c>
      <x:c r="D662" s="40" t="str">
        <x:v>Videoaula</x:v>
      </x:c>
      <x:c r="E662" s="40" t="str">
        <x:v>Não iniciado</x:v>
      </x:c>
      <x:c r="F662" s="41" t="str"/>
      <x:c r="G662" s="42" t="str"/>
      <x:c r="H662" s="40" t="str">
        <x:v>Normal</x:v>
      </x:c>
      <x:c r="I662" s="40" t="str">
        <x:f>IF(E662="Concluído","Concluído",IF(A662&lt;TODAY(),"Atrasado",IF(A662=TODAY(),"Hoje","Futuro")))</x:f>
        <x:v>Futuro</x:v>
      </x:c>
      <x:c r="J662" s="43" t="n">
        <x:f>IF(OR(E662="Concluído",A662&gt;=TODAY()),0,TODAY()-A662)</x:f>
        <x:v>0</x:v>
      </x:c>
      <x:c r="K662" s="40" t="str"/>
    </x:row>
    <x:row r="663">
      <x:c r="A663" s="34" t="n">
        <x:v>46375</x:v>
      </x:c>
      <x:c r="B663" s="40" t="str">
        <x:v>Gestão e Governança de Tecnologia da Informação</x:v>
      </x:c>
      <x:c r="C663" s="40" t="str">
        <x:v>33 - Gestão de Projetos - PMBOK 7ª Edição - Bote Salva Vidas</x:v>
      </x:c>
      <x:c r="D663" s="40" t="str">
        <x:v>Videoaula</x:v>
      </x:c>
      <x:c r="E663" s="40" t="str">
        <x:v>Não iniciado</x:v>
      </x:c>
      <x:c r="F663" s="41" t="str"/>
      <x:c r="G663" s="42" t="str"/>
      <x:c r="H663" s="40" t="str">
        <x:v>Normal</x:v>
      </x:c>
      <x:c r="I663" s="40" t="str">
        <x:f>IF(E663="Concluído","Concluído",IF(A663&lt;TODAY(),"Atrasado",IF(A663=TODAY(),"Hoje","Futuro")))</x:f>
        <x:v>Futuro</x:v>
      </x:c>
      <x:c r="J663" s="43" t="n">
        <x:f>IF(OR(E663="Concluído",A663&gt;=TODAY()),0,TODAY()-A663)</x:f>
        <x:v>0</x:v>
      </x:c>
      <x:c r="K663" s="40" t="str"/>
    </x:row>
    <x:row r="664">
      <x:c r="A664" s="34" t="n">
        <x:v>46375</x:v>
      </x:c>
      <x:c r="B664" s="40" t="str">
        <x:v>Inteligência Emocional</x:v>
      </x:c>
      <x:c r="C664" s="40" t="str">
        <x:v>33 - ELO 33: A Mediocridade e os Estudos</x:v>
      </x:c>
      <x:c r="D664" s="40" t="str">
        <x:v>Pdf</x:v>
      </x:c>
      <x:c r="E664" s="40" t="str">
        <x:v>Não iniciado</x:v>
      </x:c>
      <x:c r="F664" s="41" t="str"/>
      <x:c r="G664" s="42" t="str"/>
      <x:c r="H664" s="40" t="str">
        <x:v>Normal</x:v>
      </x:c>
      <x:c r="I664" s="40" t="str">
        <x:f>IF(E664="Concluído","Concluído",IF(A664&lt;TODAY(),"Atrasado",IF(A664=TODAY(),"Hoje","Futuro")))</x:f>
        <x:v>Futuro</x:v>
      </x:c>
      <x:c r="J664" s="43" t="n">
        <x:f>IF(OR(E664="Concluído",A664&gt;=TODAY()),0,TODAY()-A664)</x:f>
        <x:v>0</x:v>
      </x:c>
      <x:c r="K664" s="40" t="str"/>
    </x:row>
    <x:row r="665">
      <x:c r="A665" s="34" t="n">
        <x:v>46376</x:v>
      </x:c>
      <x:c r="B665" s="40" t="str">
        <x:v>Inteligência Emocional</x:v>
      </x:c>
      <x:c r="C665" s="40" t="str">
        <x:v>33 - ELO 33: A Mediocridade e os Estudos</x:v>
      </x:c>
      <x:c r="D665" s="40" t="str">
        <x:v>Pdf</x:v>
      </x:c>
      <x:c r="E665" s="40" t="str">
        <x:v>Não iniciado</x:v>
      </x:c>
      <x:c r="F665" s="41" t="str"/>
      <x:c r="G665" s="42" t="str"/>
      <x:c r="H665" s="40" t="str">
        <x:v>Normal</x:v>
      </x:c>
      <x:c r="I665" s="40" t="str">
        <x:f>IF(E665="Concluído","Concluído",IF(A665&lt;TODAY(),"Atrasado",IF(A665=TODAY(),"Hoje","Futuro")))</x:f>
        <x:v>Futuro</x:v>
      </x:c>
      <x:c r="J665" s="43" t="n">
        <x:f>IF(OR(E665="Concluído",A665&gt;=TODAY()),0,TODAY()-A665)</x:f>
        <x:v>0</x:v>
      </x:c>
      <x:c r="K665" s="40" t="str"/>
    </x:row>
    <x:row r="666">
      <x:c r="A666" s="34" t="n">
        <x:v>46376</x:v>
      </x:c>
      <x:c r="B666" s="40" t="str">
        <x:v>Língua Portuguesa</x:v>
      </x:c>
      <x:c r="C666" s="40" t="str">
        <x:v>5 - Explicativas X Causais</x:v>
      </x:c>
      <x:c r="D666" s="40" t="str">
        <x:v>Videoaula</x:v>
      </x:c>
      <x:c r="E666" s="40" t="str">
        <x:v>Não iniciado</x:v>
      </x:c>
      <x:c r="F666" s="41" t="str"/>
      <x:c r="G666" s="42" t="str"/>
      <x:c r="H666" s="40" t="str">
        <x:v>Normal</x:v>
      </x:c>
      <x:c r="I666" s="40" t="str">
        <x:f>IF(E666="Concluído","Concluído",IF(A666&lt;TODAY(),"Atrasado",IF(A666=TODAY(),"Hoje","Futuro")))</x:f>
        <x:v>Futuro</x:v>
      </x:c>
      <x:c r="J666" s="43" t="n">
        <x:f>IF(OR(E666="Concluído",A666&gt;=TODAY()),0,TODAY()-A666)</x:f>
        <x:v>0</x:v>
      </x:c>
      <x:c r="K666" s="40" t="str"/>
    </x:row>
    <x:row r="667">
      <x:c r="A667" s="34" t="n">
        <x:v>46376</x:v>
      </x:c>
      <x:c r="B667" s="40" t="str">
        <x:v>Língua Portuguesa</x:v>
      </x:c>
      <x:c r="C667" s="40" t="str">
        <x:v>6 - Exercícios - Conjunções</x:v>
      </x:c>
      <x:c r="D667" s="40" t="str">
        <x:v>Videoaula</x:v>
      </x:c>
      <x:c r="E667" s="40" t="str">
        <x:v>Não iniciado</x:v>
      </x:c>
      <x:c r="F667" s="41" t="str"/>
      <x:c r="G667" s="42" t="str"/>
      <x:c r="H667" s="40" t="str">
        <x:v>Normal</x:v>
      </x:c>
      <x:c r="I667" s="40" t="str">
        <x:f>IF(E667="Concluído","Concluído",IF(A667&lt;TODAY(),"Atrasado",IF(A667=TODAY(),"Hoje","Futuro")))</x:f>
        <x:v>Futuro</x:v>
      </x:c>
      <x:c r="J667" s="43" t="n">
        <x:f>IF(OR(E667="Concluído",A667&gt;=TODAY()),0,TODAY()-A667)</x:f>
        <x:v>0</x:v>
      </x:c>
      <x:c r="K667" s="40" t="str"/>
    </x:row>
    <x:row r="668">
      <x:c r="A668" s="34" t="n">
        <x:v>46376</x:v>
      </x:c>
      <x:c r="B668" s="40" t="str">
        <x:v>Língua Inglesa</x:v>
      </x:c>
      <x:c r="C668" s="40" t="str">
        <x:v>17 - Língua Inglesa - Simple Present</x:v>
      </x:c>
      <x:c r="D668" s="40" t="str">
        <x:v>Videoaula</x:v>
      </x:c>
      <x:c r="E668" s="40" t="str">
        <x:v>Não iniciado</x:v>
      </x:c>
      <x:c r="F668" s="41" t="str"/>
      <x:c r="G668" s="42" t="str"/>
      <x:c r="H668" s="40" t="str">
        <x:v>Normal</x:v>
      </x:c>
      <x:c r="I668" s="40" t="str">
        <x:f>IF(E668="Concluído","Concluído",IF(A668&lt;TODAY(),"Atrasado",IF(A668=TODAY(),"Hoje","Futuro")))</x:f>
        <x:v>Futuro</x:v>
      </x:c>
      <x:c r="J668" s="43" t="n">
        <x:f>IF(OR(E668="Concluído",A668&gt;=TODAY()),0,TODAY()-A668)</x:f>
        <x:v>0</x:v>
      </x:c>
      <x:c r="K668" s="40" t="str"/>
    </x:row>
    <x:row r="669">
      <x:c r="A669" s="34" t="n">
        <x:v>46376</x:v>
      </x:c>
      <x:c r="B669" s="40" t="str">
        <x:v>Língua Inglesa</x:v>
      </x:c>
      <x:c r="C669" s="40" t="str">
        <x:v>18 - Língua Inglesa - Simple Present - Modern Sentences</x:v>
      </x:c>
      <x:c r="D669" s="40" t="str">
        <x:v>Videoaula</x:v>
      </x:c>
      <x:c r="E669" s="40" t="str">
        <x:v>Não iniciado</x:v>
      </x:c>
      <x:c r="F669" s="41" t="str"/>
      <x:c r="G669" s="42" t="str"/>
      <x:c r="H669" s="40" t="str">
        <x:v>Normal</x:v>
      </x:c>
      <x:c r="I669" s="40" t="str">
        <x:f>IF(E669="Concluído","Concluído",IF(A669&lt;TODAY(),"Atrasado",IF(A669=TODAY(),"Hoje","Futuro")))</x:f>
        <x:v>Futuro</x:v>
      </x:c>
      <x:c r="J669" s="43" t="n">
        <x:f>IF(OR(E669="Concluído",A669&gt;=TODAY()),0,TODAY()-A669)</x:f>
        <x:v>0</x:v>
      </x:c>
      <x:c r="K669" s="40" t="str"/>
    </x:row>
    <x:row r="670">
      <x:c r="A670" s="34" t="n">
        <x:v>46376</x:v>
      </x:c>
      <x:c r="B670" s="40" t="str">
        <x:v>Revisão</x:v>
      </x:c>
      <x:c r="C670" s="40" t="str">
        <x:v>Revisão</x:v>
      </x:c>
      <x:c r="D670" s="40" t="str">
        <x:v>Revisao</x:v>
      </x:c>
      <x:c r="E670" s="40" t="str">
        <x:v>Não iniciado</x:v>
      </x:c>
      <x:c r="F670" s="41" t="str"/>
      <x:c r="G670" s="42" t="str"/>
      <x:c r="H670" s="40" t="str">
        <x:v>Normal</x:v>
      </x:c>
      <x:c r="I670" s="40" t="str">
        <x:f>IF(E670="Concluído","Concluído",IF(A670&lt;TODAY(),"Atrasado",IF(A670=TODAY(),"Hoje","Futuro")))</x:f>
        <x:v>Futuro</x:v>
      </x:c>
      <x:c r="J670" s="43" t="n">
        <x:f>IF(OR(E670="Concluído",A670&gt;=TODAY()),0,TODAY()-A670)</x:f>
        <x:v>0</x:v>
      </x:c>
      <x:c r="K670" s="40" t="str"/>
    </x:row>
    <x:row r="671">
      <x:c r="A671" s="34" t="n">
        <x:v>46377</x:v>
      </x:c>
      <x:c r="B671" s="40" t="str">
        <x:v>Língua Inglesa</x:v>
      </x:c>
      <x:c r="C671" s="40" t="str">
        <x:v>18 - Língua Inglesa - Simple Present - Modern Sentences</x:v>
      </x:c>
      <x:c r="D671" s="40" t="str">
        <x:v>Videoaula</x:v>
      </x:c>
      <x:c r="E671" s="40" t="str">
        <x:v>Não iniciado</x:v>
      </x:c>
      <x:c r="F671" s="41" t="str"/>
      <x:c r="G671" s="42" t="str"/>
      <x:c r="H671" s="40" t="str">
        <x:v>Normal</x:v>
      </x:c>
      <x:c r="I671" s="40" t="str">
        <x:f>IF(E671="Concluído","Concluído",IF(A671&lt;TODAY(),"Atrasado",IF(A671=TODAY(),"Hoje","Futuro")))</x:f>
        <x:v>Futuro</x:v>
      </x:c>
      <x:c r="J671" s="43" t="n">
        <x:f>IF(OR(E671="Concluído",A671&gt;=TODAY()),0,TODAY()-A671)</x:f>
        <x:v>0</x:v>
      </x:c>
      <x:c r="K671" s="40" t="str"/>
    </x:row>
    <x:row r="672">
      <x:c r="A672" s="34" t="n">
        <x:v>46377</x:v>
      </x:c>
      <x:c r="B672" s="40" t="str">
        <x:v>Atualidades e Inteligência Artificial</x:v>
      </x:c>
      <x:c r="C672" s="40" t="str">
        <x:v>35 - Grandes Modelos de Linguagem (LLM) e IA Generativa II</x:v>
      </x:c>
      <x:c r="D672" s="40" t="str">
        <x:v>Videoaula</x:v>
      </x:c>
      <x:c r="E672" s="40" t="str">
        <x:v>Não iniciado</x:v>
      </x:c>
      <x:c r="F672" s="41" t="str"/>
      <x:c r="G672" s="42" t="str"/>
      <x:c r="H672" s="40" t="str">
        <x:v>Normal</x:v>
      </x:c>
      <x:c r="I672" s="40" t="str">
        <x:f>IF(E672="Concluído","Concluído",IF(A672&lt;TODAY(),"Atrasado",IF(A672=TODAY(),"Hoje","Futuro")))</x:f>
        <x:v>Futuro</x:v>
      </x:c>
      <x:c r="J672" s="43" t="n">
        <x:f>IF(OR(E672="Concluído",A672&gt;=TODAY()),0,TODAY()-A672)</x:f>
        <x:v>0</x:v>
      </x:c>
      <x:c r="K672" s="40" t="str"/>
    </x:row>
    <x:row r="673">
      <x:c r="A673" s="34" t="n">
        <x:v>46377</x:v>
      </x:c>
      <x:c r="B673" s="40" t="str">
        <x:v>Atualidades e Inteligência Artificial</x:v>
      </x:c>
      <x:c r="C673" s="40" t="str">
        <x:v>36 - Grandes Modelos de Linguagem (LLM) e IA Generativa III</x:v>
      </x:c>
      <x:c r="D673" s="40" t="str">
        <x:v>Videoaula</x:v>
      </x:c>
      <x:c r="E673" s="40" t="str">
        <x:v>Não iniciado</x:v>
      </x:c>
      <x:c r="F673" s="41" t="str"/>
      <x:c r="G673" s="42" t="str"/>
      <x:c r="H673" s="40" t="str">
        <x:v>Normal</x:v>
      </x:c>
      <x:c r="I673" s="40" t="str">
        <x:f>IF(E673="Concluído","Concluído",IF(A673&lt;TODAY(),"Atrasado",IF(A673=TODAY(),"Hoje","Futuro")))</x:f>
        <x:v>Futuro</x:v>
      </x:c>
      <x:c r="J673" s="43" t="n">
        <x:f>IF(OR(E673="Concluído",A673&gt;=TODAY()),0,TODAY()-A673)</x:f>
        <x:v>0</x:v>
      </x:c>
      <x:c r="K673" s="40" t="str"/>
    </x:row>
    <x:row r="674">
      <x:c r="A674" s="34" t="n">
        <x:v>46377</x:v>
      </x:c>
      <x:c r="B674" s="40" t="str">
        <x:v>Gestão e Governança de Tecnologia da Informação</x:v>
      </x:c>
      <x:c r="C674" s="40" t="str">
        <x:v>1 - ITIL 4 - Introdução</x:v>
      </x:c>
      <x:c r="D674" s="40" t="str">
        <x:v>Videoaula</x:v>
      </x:c>
      <x:c r="E674" s="40" t="str">
        <x:v>Não iniciado</x:v>
      </x:c>
      <x:c r="F674" s="41" t="str"/>
      <x:c r="G674" s="42" t="str"/>
      <x:c r="H674" s="40" t="str">
        <x:v>Normal</x:v>
      </x:c>
      <x:c r="I674" s="40" t="str">
        <x:f>IF(E674="Concluído","Concluído",IF(A674&lt;TODAY(),"Atrasado",IF(A674=TODAY(),"Hoje","Futuro")))</x:f>
        <x:v>Futuro</x:v>
      </x:c>
      <x:c r="J674" s="43" t="n">
        <x:f>IF(OR(E674="Concluído",A674&gt;=TODAY()),0,TODAY()-A674)</x:f>
        <x:v>0</x:v>
      </x:c>
      <x:c r="K674" s="40" t="str"/>
    </x:row>
    <x:row r="675">
      <x:c r="A675" s="34" t="n">
        <x:v>46377</x:v>
      </x:c>
      <x:c r="B675" s="40" t="str">
        <x:v>Gestão e Governança de Tecnologia da Informação</x:v>
      </x:c>
      <x:c r="C675" s="40" t="str">
        <x:v>2 - ITIL 4 - Componentes Chave do ITIL 4</x:v>
      </x:c>
      <x:c r="D675" s="40" t="str">
        <x:v>Videoaula</x:v>
      </x:c>
      <x:c r="E675" s="40" t="str">
        <x:v>Não iniciado</x:v>
      </x:c>
      <x:c r="F675" s="41" t="str"/>
      <x:c r="G675" s="42" t="str"/>
      <x:c r="H675" s="40" t="str">
        <x:v>Normal</x:v>
      </x:c>
      <x:c r="I675" s="40" t="str">
        <x:f>IF(E675="Concluído","Concluído",IF(A675&lt;TODAY(),"Atrasado",IF(A675=TODAY(),"Hoje","Futuro")))</x:f>
        <x:v>Futuro</x:v>
      </x:c>
      <x:c r="J675" s="43" t="n">
        <x:f>IF(OR(E675="Concluído",A675&gt;=TODAY()),0,TODAY()-A675)</x:f>
        <x:v>0</x:v>
      </x:c>
      <x:c r="K675" s="40" t="str"/>
    </x:row>
    <x:row r="676">
      <x:c r="A676" s="34" t="n">
        <x:v>46378</x:v>
      </x:c>
      <x:c r="B676" s="40" t="str">
        <x:v>Gestão e Governança de Tecnologia da Informação</x:v>
      </x:c>
      <x:c r="C676" s="40" t="str">
        <x:v>2 - ITIL 4 - Componentes Chave do ITIL 4</x:v>
      </x:c>
      <x:c r="D676" s="40" t="str">
        <x:v>Videoaula</x:v>
      </x:c>
      <x:c r="E676" s="40" t="str">
        <x:v>Não iniciado</x:v>
      </x:c>
      <x:c r="F676" s="41" t="str"/>
      <x:c r="G676" s="42" t="str"/>
      <x:c r="H676" s="40" t="str">
        <x:v>Normal</x:v>
      </x:c>
      <x:c r="I676" s="40" t="str">
        <x:f>IF(E676="Concluído","Concluído",IF(A676&lt;TODAY(),"Atrasado",IF(A676=TODAY(),"Hoje","Futuro")))</x:f>
        <x:v>Futuro</x:v>
      </x:c>
      <x:c r="J676" s="43" t="n">
        <x:f>IF(OR(E676="Concluído",A676&gt;=TODAY()),0,TODAY()-A676)</x:f>
        <x:v>0</x:v>
      </x:c>
      <x:c r="K676" s="40" t="str"/>
    </x:row>
    <x:row r="677">
      <x:c r="A677" s="34" t="n">
        <x:v>46378</x:v>
      </x:c>
      <x:c r="B677" s="40" t="str">
        <x:v>Inteligência Emocional</x:v>
      </x:c>
      <x:c r="C677" s="40" t="str">
        <x:v>34 - ELO 34: Os 7 Pecados Capitais</x:v>
      </x:c>
      <x:c r="D677" s="40" t="str">
        <x:v>Pdf</x:v>
      </x:c>
      <x:c r="E677" s="40" t="str">
        <x:v>Não iniciado</x:v>
      </x:c>
      <x:c r="F677" s="41" t="str"/>
      <x:c r="G677" s="42" t="str"/>
      <x:c r="H677" s="40" t="str">
        <x:v>Normal</x:v>
      </x:c>
      <x:c r="I677" s="40" t="str">
        <x:f>IF(E677="Concluído","Concluído",IF(A677&lt;TODAY(),"Atrasado",IF(A677=TODAY(),"Hoje","Futuro")))</x:f>
        <x:v>Futuro</x:v>
      </x:c>
      <x:c r="J677" s="43" t="n">
        <x:f>IF(OR(E677="Concluído",A677&gt;=TODAY()),0,TODAY()-A677)</x:f>
        <x:v>0</x:v>
      </x:c>
      <x:c r="K677" s="40" t="str"/>
    </x:row>
    <x:row r="678">
      <x:c r="A678" s="34" t="n">
        <x:v>46378</x:v>
      </x:c>
      <x:c r="B678" s="40" t="str">
        <x:v>Língua Portuguesa</x:v>
      </x:c>
      <x:c r="C678" s="40" t="str">
        <x:v>7 - Pontuação entre as Orações Coordenadas</x:v>
      </x:c>
      <x:c r="D678" s="40" t="str">
        <x:v>Videoaula</x:v>
      </x:c>
      <x:c r="E678" s="40" t="str">
        <x:v>Não iniciado</x:v>
      </x:c>
      <x:c r="F678" s="41" t="str"/>
      <x:c r="G678" s="42" t="str"/>
      <x:c r="H678" s="40" t="str">
        <x:v>Normal</x:v>
      </x:c>
      <x:c r="I678" s="40" t="str">
        <x:f>IF(E678="Concluído","Concluído",IF(A678&lt;TODAY(),"Atrasado",IF(A678=TODAY(),"Hoje","Futuro")))</x:f>
        <x:v>Futuro</x:v>
      </x:c>
      <x:c r="J678" s="43" t="n">
        <x:f>IF(OR(E678="Concluído",A678&gt;=TODAY()),0,TODAY()-A678)</x:f>
        <x:v>0</x:v>
      </x:c>
      <x:c r="K678" s="40" t="str"/>
    </x:row>
    <x:row r="679">
      <x:c r="A679" s="34" t="n">
        <x:v>46378</x:v>
      </x:c>
      <x:c r="B679" s="40" t="str">
        <x:v>Língua Portuguesa</x:v>
      </x:c>
      <x:c r="C679" s="40" t="str">
        <x:v>1 - Pontuação I</x:v>
      </x:c>
      <x:c r="D679" s="40" t="str">
        <x:v>Videoaula</x:v>
      </x:c>
      <x:c r="E679" s="40" t="str">
        <x:v>Não iniciado</x:v>
      </x:c>
      <x:c r="F679" s="41" t="str"/>
      <x:c r="G679" s="42" t="str"/>
      <x:c r="H679" s="40" t="str">
        <x:v>Normal</x:v>
      </x:c>
      <x:c r="I679" s="40" t="str">
        <x:f>IF(E679="Concluído","Concluído",IF(A679&lt;TODAY(),"Atrasado",IF(A679=TODAY(),"Hoje","Futuro")))</x:f>
        <x:v>Futuro</x:v>
      </x:c>
      <x:c r="J679" s="43" t="n">
        <x:f>IF(OR(E679="Concluído",A679&gt;=TODAY()),0,TODAY()-A679)</x:f>
        <x:v>0</x:v>
      </x:c>
      <x:c r="K679" s="40" t="str"/>
    </x:row>
    <x:row r="680">
      <x:c r="A680" s="34" t="n">
        <x:v>46379</x:v>
      </x:c>
      <x:c r="B680" s="40" t="str">
        <x:v>Língua Portuguesa</x:v>
      </x:c>
      <x:c r="C680" s="40" t="str">
        <x:v>1 - Pontuação I</x:v>
      </x:c>
      <x:c r="D680" s="40" t="str">
        <x:v>Videoaula</x:v>
      </x:c>
      <x:c r="E680" s="40" t="str">
        <x:v>Não iniciado</x:v>
      </x:c>
      <x:c r="F680" s="41" t="str"/>
      <x:c r="G680" s="42" t="str"/>
      <x:c r="H680" s="40" t="str">
        <x:v>Normal</x:v>
      </x:c>
      <x:c r="I680" s="40" t="str">
        <x:f>IF(E680="Concluído","Concluído",IF(A680&lt;TODAY(),"Atrasado",IF(A680=TODAY(),"Hoje","Futuro")))</x:f>
        <x:v>Futuro</x:v>
      </x:c>
      <x:c r="J680" s="43" t="n">
        <x:f>IF(OR(E680="Concluído",A680&gt;=TODAY()),0,TODAY()-A680)</x:f>
        <x:v>0</x:v>
      </x:c>
      <x:c r="K680" s="40" t="str"/>
    </x:row>
    <x:row r="681">
      <x:c r="A681" s="34" t="n">
        <x:v>46379</x:v>
      </x:c>
      <x:c r="B681" s="40" t="str">
        <x:v>Língua Inglesa</x:v>
      </x:c>
      <x:c r="C681" s="40" t="str">
        <x:v>19 - Língua Inglesa - Simple Future and Going To Future</x:v>
      </x:c>
      <x:c r="D681" s="40" t="str">
        <x:v>Videoaula</x:v>
      </x:c>
      <x:c r="E681" s="40" t="str">
        <x:v>Não iniciado</x:v>
      </x:c>
      <x:c r="F681" s="41" t="str"/>
      <x:c r="G681" s="42" t="str"/>
      <x:c r="H681" s="40" t="str">
        <x:v>Normal</x:v>
      </x:c>
      <x:c r="I681" s="40" t="str">
        <x:f>IF(E681="Concluído","Concluído",IF(A681&lt;TODAY(),"Atrasado",IF(A681=TODAY(),"Hoje","Futuro")))</x:f>
        <x:v>Futuro</x:v>
      </x:c>
      <x:c r="J681" s="43" t="n">
        <x:f>IF(OR(E681="Concluído",A681&gt;=TODAY()),0,TODAY()-A681)</x:f>
        <x:v>0</x:v>
      </x:c>
      <x:c r="K681" s="40" t="str"/>
    </x:row>
    <x:row r="682">
      <x:c r="A682" s="34" t="n">
        <x:v>46379</x:v>
      </x:c>
      <x:c r="B682" s="40" t="str">
        <x:v>Língua Inglesa</x:v>
      </x:c>
      <x:c r="C682" s="40" t="str">
        <x:v>20 - Língua Inglesa - Simple Past</x:v>
      </x:c>
      <x:c r="D682" s="40" t="str">
        <x:v>Videoaula</x:v>
      </x:c>
      <x:c r="E682" s="40" t="str">
        <x:v>Não iniciado</x:v>
      </x:c>
      <x:c r="F682" s="41" t="str"/>
      <x:c r="G682" s="42" t="str"/>
      <x:c r="H682" s="40" t="str">
        <x:v>Normal</x:v>
      </x:c>
      <x:c r="I682" s="40" t="str">
        <x:f>IF(E682="Concluído","Concluído",IF(A682&lt;TODAY(),"Atrasado",IF(A682=TODAY(),"Hoje","Futuro")))</x:f>
        <x:v>Futuro</x:v>
      </x:c>
      <x:c r="J682" s="43" t="n">
        <x:f>IF(OR(E682="Concluído",A682&gt;=TODAY()),0,TODAY()-A682)</x:f>
        <x:v>0</x:v>
      </x:c>
      <x:c r="K682" s="40" t="str"/>
    </x:row>
    <x:row r="683">
      <x:c r="A683" s="34" t="n">
        <x:v>46379</x:v>
      </x:c>
      <x:c r="B683" s="40" t="str">
        <x:v>Atualidades e Inteligência Artificial</x:v>
      </x:c>
      <x:c r="C683" s="40" t="str">
        <x:v>37 - LLM</x:v>
      </x:c>
      <x:c r="D683" s="40" t="str">
        <x:v>Videoaula</x:v>
      </x:c>
      <x:c r="E683" s="40" t="str">
        <x:v>Não iniciado</x:v>
      </x:c>
      <x:c r="F683" s="41" t="str"/>
      <x:c r="G683" s="42" t="str"/>
      <x:c r="H683" s="40" t="str">
        <x:v>Normal</x:v>
      </x:c>
      <x:c r="I683" s="40" t="str">
        <x:f>IF(E683="Concluído","Concluído",IF(A683&lt;TODAY(),"Atrasado",IF(A683=TODAY(),"Hoje","Futuro")))</x:f>
        <x:v>Futuro</x:v>
      </x:c>
      <x:c r="J683" s="43" t="n">
        <x:f>IF(OR(E683="Concluído",A683&gt;=TODAY()),0,TODAY()-A683)</x:f>
        <x:v>0</x:v>
      </x:c>
      <x:c r="K683" s="40" t="str"/>
    </x:row>
    <x:row r="684">
      <x:c r="A684" s="34" t="n">
        <x:v>46379</x:v>
      </x:c>
      <x:c r="B684" s="40" t="str">
        <x:v>Atualidades e Inteligência Artificial</x:v>
      </x:c>
      <x:c r="C684" s="40" t="str">
        <x:v>38 - LLM II</x:v>
      </x:c>
      <x:c r="D684" s="40" t="str">
        <x:v>Videoaula</x:v>
      </x:c>
      <x:c r="E684" s="40" t="str">
        <x:v>Não iniciado</x:v>
      </x:c>
      <x:c r="F684" s="41" t="str"/>
      <x:c r="G684" s="42" t="str"/>
      <x:c r="H684" s="40" t="str">
        <x:v>Normal</x:v>
      </x:c>
      <x:c r="I684" s="40" t="str">
        <x:f>IF(E684="Concluído","Concluído",IF(A684&lt;TODAY(),"Atrasado",IF(A684=TODAY(),"Hoje","Futuro")))</x:f>
        <x:v>Futuro</x:v>
      </x:c>
      <x:c r="J684" s="43" t="n">
        <x:f>IF(OR(E684="Concluído",A684&gt;=TODAY()),0,TODAY()-A684)</x:f>
        <x:v>0</x:v>
      </x:c>
      <x:c r="K684" s="40" t="str"/>
    </x:row>
    <x:row r="685">
      <x:c r="A685" s="34" t="n">
        <x:v>46380</x:v>
      </x:c>
      <x:c r="B685" s="40" t="str">
        <x:v>Atualidades e Inteligência Artificial</x:v>
      </x:c>
      <x:c r="C685" s="40" t="str">
        <x:v>38 - LLM II</x:v>
      </x:c>
      <x:c r="D685" s="40" t="str">
        <x:v>Videoaula</x:v>
      </x:c>
      <x:c r="E685" s="40" t="str">
        <x:v>Não iniciado</x:v>
      </x:c>
      <x:c r="F685" s="41" t="str"/>
      <x:c r="G685" s="42" t="str"/>
      <x:c r="H685" s="40" t="str">
        <x:v>Normal</x:v>
      </x:c>
      <x:c r="I685" s="40" t="str">
        <x:f>IF(E685="Concluído","Concluído",IF(A685&lt;TODAY(),"Atrasado",IF(A685=TODAY(),"Hoje","Futuro")))</x:f>
        <x:v>Futuro</x:v>
      </x:c>
      <x:c r="J685" s="43" t="n">
        <x:f>IF(OR(E685="Concluído",A685&gt;=TODAY()),0,TODAY()-A685)</x:f>
        <x:v>0</x:v>
      </x:c>
      <x:c r="K685" s="40" t="str"/>
    </x:row>
    <x:row r="686">
      <x:c r="A686" s="34" t="n">
        <x:v>46380</x:v>
      </x:c>
      <x:c r="B686" s="40" t="str">
        <x:v>Gestão e Governança de Tecnologia da Informação</x:v>
      </x:c>
      <x:c r="C686" s="40" t="str">
        <x:v>3 - ITIL 4 - Sistema de Valor de Serviço</x:v>
      </x:c>
      <x:c r="D686" s="40" t="str">
        <x:v>Videoaula</x:v>
      </x:c>
      <x:c r="E686" s="40" t="str">
        <x:v>Não iniciado</x:v>
      </x:c>
      <x:c r="F686" s="41" t="str"/>
      <x:c r="G686" s="42" t="str"/>
      <x:c r="H686" s="40" t="str">
        <x:v>Normal</x:v>
      </x:c>
      <x:c r="I686" s="40" t="str">
        <x:f>IF(E686="Concluído","Concluído",IF(A686&lt;TODAY(),"Atrasado",IF(A686=TODAY(),"Hoje","Futuro")))</x:f>
        <x:v>Futuro</x:v>
      </x:c>
      <x:c r="J686" s="43" t="n">
        <x:f>IF(OR(E686="Concluído",A686&gt;=TODAY()),0,TODAY()-A686)</x:f>
        <x:v>0</x:v>
      </x:c>
      <x:c r="K686" s="40" t="str"/>
    </x:row>
    <x:row r="687">
      <x:c r="A687" s="34" t="n">
        <x:v>46380</x:v>
      </x:c>
      <x:c r="B687" s="40" t="str">
        <x:v>Gestão e Governança de Tecnologia da Informação</x:v>
      </x:c>
      <x:c r="C687" s="40" t="str">
        <x:v>4 - ITIL 4 - Sistema de Valor de Serviço II</x:v>
      </x:c>
      <x:c r="D687" s="40" t="str">
        <x:v>Videoaula</x:v>
      </x:c>
      <x:c r="E687" s="40" t="str">
        <x:v>Não iniciado</x:v>
      </x:c>
      <x:c r="F687" s="41" t="str"/>
      <x:c r="G687" s="42" t="str"/>
      <x:c r="H687" s="40" t="str">
        <x:v>Normal</x:v>
      </x:c>
      <x:c r="I687" s="40" t="str">
        <x:f>IF(E687="Concluído","Concluído",IF(A687&lt;TODAY(),"Atrasado",IF(A687=TODAY(),"Hoje","Futuro")))</x:f>
        <x:v>Futuro</x:v>
      </x:c>
      <x:c r="J687" s="43" t="n">
        <x:f>IF(OR(E687="Concluído",A687&gt;=TODAY()),0,TODAY()-A687)</x:f>
        <x:v>0</x:v>
      </x:c>
      <x:c r="K687" s="40" t="str"/>
    </x:row>
    <x:row r="688">
      <x:c r="A688" s="34" t="n">
        <x:v>46380</x:v>
      </x:c>
      <x:c r="B688" s="40" t="str">
        <x:v>Inteligência Emocional</x:v>
      </x:c>
      <x:c r="C688" s="40" t="str">
        <x:v>35 - ELO 35: Como se Blindar de Pessoas Tóxicas nos Estudos</x:v>
      </x:c>
      <x:c r="D688" s="40" t="str">
        <x:v>Pdf</x:v>
      </x:c>
      <x:c r="E688" s="40" t="str">
        <x:v>Não iniciado</x:v>
      </x:c>
      <x:c r="F688" s="41" t="str"/>
      <x:c r="G688" s="42" t="str"/>
      <x:c r="H688" s="40" t="str">
        <x:v>Normal</x:v>
      </x:c>
      <x:c r="I688" s="40" t="str">
        <x:f>IF(E688="Concluído","Concluído",IF(A688&lt;TODAY(),"Atrasado",IF(A688=TODAY(),"Hoje","Futuro")))</x:f>
        <x:v>Futuro</x:v>
      </x:c>
      <x:c r="J688" s="43" t="n">
        <x:f>IF(OR(E688="Concluído",A688&gt;=TODAY()),0,TODAY()-A688)</x:f>
        <x:v>0</x:v>
      </x:c>
      <x:c r="K688" s="40" t="str"/>
    </x:row>
    <x:row r="689">
      <x:c r="A689" s="34" t="n">
        <x:v>46380</x:v>
      </x:c>
      <x:c r="B689" s="40" t="str">
        <x:v>Língua Portuguesa</x:v>
      </x:c>
      <x:c r="C689" s="40" t="str">
        <x:v>2 - Pontuação II</x:v>
      </x:c>
      <x:c r="D689" s="40" t="str">
        <x:v>Videoaula</x:v>
      </x:c>
      <x:c r="E689" s="40" t="str">
        <x:v>Não iniciado</x:v>
      </x:c>
      <x:c r="F689" s="41" t="str"/>
      <x:c r="G689" s="42" t="str"/>
      <x:c r="H689" s="40" t="str">
        <x:v>Normal</x:v>
      </x:c>
      <x:c r="I689" s="40" t="str">
        <x:f>IF(E689="Concluído","Concluído",IF(A689&lt;TODAY(),"Atrasado",IF(A689=TODAY(),"Hoje","Futuro")))</x:f>
        <x:v>Futuro</x:v>
      </x:c>
      <x:c r="J689" s="43" t="n">
        <x:f>IF(OR(E689="Concluído",A689&gt;=TODAY()),0,TODAY()-A689)</x:f>
        <x:v>0</x:v>
      </x:c>
      <x:c r="K689" s="40" t="str"/>
    </x:row>
    <x:row r="690">
      <x:c r="A690" s="34" t="n">
        <x:v>46381</x:v>
      </x:c>
      <x:c r="B690" s="40" t="str">
        <x:v>Língua Portuguesa</x:v>
      </x:c>
      <x:c r="C690" s="40" t="str">
        <x:v>2 - Pontuação II</x:v>
      </x:c>
      <x:c r="D690" s="40" t="str">
        <x:v>Videoaula</x:v>
      </x:c>
      <x:c r="E690" s="40" t="str">
        <x:v>Não iniciado</x:v>
      </x:c>
      <x:c r="F690" s="41" t="str"/>
      <x:c r="G690" s="42" t="str"/>
      <x:c r="H690" s="40" t="str">
        <x:v>Normal</x:v>
      </x:c>
      <x:c r="I690" s="40" t="str">
        <x:f>IF(E690="Concluído","Concluído",IF(A690&lt;TODAY(),"Atrasado",IF(A690=TODAY(),"Hoje","Futuro")))</x:f>
        <x:v>Futuro</x:v>
      </x:c>
      <x:c r="J690" s="43" t="n">
        <x:f>IF(OR(E690="Concluído",A690&gt;=TODAY()),0,TODAY()-A690)</x:f>
        <x:v>0</x:v>
      </x:c>
      <x:c r="K690" s="40" t="str"/>
    </x:row>
    <x:row r="691">
      <x:c r="A691" s="34" t="n">
        <x:v>46381</x:v>
      </x:c>
      <x:c r="B691" s="40" t="str">
        <x:v>Língua Portuguesa</x:v>
      </x:c>
      <x:c r="C691" s="40" t="str">
        <x:v>1 - Regência</x:v>
      </x:c>
      <x:c r="D691" s="40" t="str">
        <x:v>Videoaula</x:v>
      </x:c>
      <x:c r="E691" s="40" t="str">
        <x:v>Não iniciado</x:v>
      </x:c>
      <x:c r="F691" s="41" t="str"/>
      <x:c r="G691" s="42" t="str"/>
      <x:c r="H691" s="40" t="str">
        <x:v>Normal</x:v>
      </x:c>
      <x:c r="I691" s="40" t="str">
        <x:f>IF(E691="Concluído","Concluído",IF(A691&lt;TODAY(),"Atrasado",IF(A691=TODAY(),"Hoje","Futuro")))</x:f>
        <x:v>Futuro</x:v>
      </x:c>
      <x:c r="J691" s="43" t="n">
        <x:f>IF(OR(E691="Concluído",A691&gt;=TODAY()),0,TODAY()-A691)</x:f>
        <x:v>0</x:v>
      </x:c>
      <x:c r="K691" s="40" t="str"/>
    </x:row>
    <x:row r="692">
      <x:c r="A692" s="34" t="n">
        <x:v>46381</x:v>
      </x:c>
      <x:c r="B692" s="40" t="str">
        <x:v>Língua Inglesa</x:v>
      </x:c>
      <x:c r="C692" s="40" t="str">
        <x:v>21 - Língua Inglesa - Verbos Auxiliares - Perguntas</x:v>
      </x:c>
      <x:c r="D692" s="40" t="str">
        <x:v>Videoaula</x:v>
      </x:c>
      <x:c r="E692" s="40" t="str">
        <x:v>Não iniciado</x:v>
      </x:c>
      <x:c r="F692" s="41" t="str"/>
      <x:c r="G692" s="42" t="str"/>
      <x:c r="H692" s="40" t="str">
        <x:v>Normal</x:v>
      </x:c>
      <x:c r="I692" s="40" t="str">
        <x:f>IF(E692="Concluído","Concluído",IF(A692&lt;TODAY(),"Atrasado",IF(A692=TODAY(),"Hoje","Futuro")))</x:f>
        <x:v>Futuro</x:v>
      </x:c>
      <x:c r="J692" s="43" t="n">
        <x:f>IF(OR(E692="Concluído",A692&gt;=TODAY()),0,TODAY()-A692)</x:f>
        <x:v>0</x:v>
      </x:c>
      <x:c r="K692" s="40" t="str"/>
    </x:row>
    <x:row r="693">
      <x:c r="A693" s="34" t="n">
        <x:v>46381</x:v>
      </x:c>
      <x:c r="B693" s="40" t="str">
        <x:v>Língua Inglesa</x:v>
      </x:c>
      <x:c r="C693" s="40" t="str">
        <x:v>22 - Língua Inglesa - Verbos Auxiliares - Negativas</x:v>
      </x:c>
      <x:c r="D693" s="40" t="str">
        <x:v>Videoaula</x:v>
      </x:c>
      <x:c r="E693" s="40" t="str">
        <x:v>Não iniciado</x:v>
      </x:c>
      <x:c r="F693" s="41" t="str"/>
      <x:c r="G693" s="42" t="str"/>
      <x:c r="H693" s="40" t="str">
        <x:v>Normal</x:v>
      </x:c>
      <x:c r="I693" s="40" t="str">
        <x:f>IF(E693="Concluído","Concluído",IF(A693&lt;TODAY(),"Atrasado",IF(A693=TODAY(),"Hoje","Futuro")))</x:f>
        <x:v>Futuro</x:v>
      </x:c>
      <x:c r="J693" s="43" t="n">
        <x:f>IF(OR(E693="Concluído",A693&gt;=TODAY()),0,TODAY()-A693)</x:f>
        <x:v>0</x:v>
      </x:c>
      <x:c r="K693" s="40" t="str"/>
    </x:row>
    <x:row r="694">
      <x:c r="A694" s="34" t="n">
        <x:v>46382</x:v>
      </x:c>
      <x:c r="B694" s="40" t="str">
        <x:v>Língua Inglesa</x:v>
      </x:c>
      <x:c r="C694" s="40" t="str">
        <x:v>22 - Língua Inglesa - Verbos Auxiliares - Negativas</x:v>
      </x:c>
      <x:c r="D694" s="40" t="str">
        <x:v>Videoaula</x:v>
      </x:c>
      <x:c r="E694" s="40" t="str">
        <x:v>Não iniciado</x:v>
      </x:c>
      <x:c r="F694" s="41" t="str"/>
      <x:c r="G694" s="42" t="str"/>
      <x:c r="H694" s="40" t="str">
        <x:v>Normal</x:v>
      </x:c>
      <x:c r="I694" s="40" t="str">
        <x:f>IF(E694="Concluído","Concluído",IF(A694&lt;TODAY(),"Atrasado",IF(A694=TODAY(),"Hoje","Futuro")))</x:f>
        <x:v>Futuro</x:v>
      </x:c>
      <x:c r="J694" s="43" t="n">
        <x:f>IF(OR(E694="Concluído",A694&gt;=TODAY()),0,TODAY()-A694)</x:f>
        <x:v>0</x:v>
      </x:c>
      <x:c r="K694" s="40" t="str"/>
    </x:row>
    <x:row r="695">
      <x:c r="A695" s="34" t="n">
        <x:v>46382</x:v>
      </x:c>
      <x:c r="B695" s="40" t="str">
        <x:v>Atualidades e Inteligência Artificial</x:v>
      </x:c>
      <x:c r="C695" s="40" t="str">
        <x:v>39 - Riscos e Desafios da IA Generativa</x:v>
      </x:c>
      <x:c r="D695" s="40" t="str">
        <x:v>Videoaula</x:v>
      </x:c>
      <x:c r="E695" s="40" t="str">
        <x:v>Não iniciado</x:v>
      </x:c>
      <x:c r="F695" s="41" t="str"/>
      <x:c r="G695" s="42" t="str"/>
      <x:c r="H695" s="40" t="str">
        <x:v>Normal</x:v>
      </x:c>
      <x:c r="I695" s="40" t="str">
        <x:f>IF(E695="Concluído","Concluído",IF(A695&lt;TODAY(),"Atrasado",IF(A695=TODAY(),"Hoje","Futuro")))</x:f>
        <x:v>Futuro</x:v>
      </x:c>
      <x:c r="J695" s="43" t="n">
        <x:f>IF(OR(E695="Concluído",A695&gt;=TODAY()),0,TODAY()-A695)</x:f>
        <x:v>0</x:v>
      </x:c>
      <x:c r="K695" s="40" t="str"/>
    </x:row>
    <x:row r="696">
      <x:c r="A696" s="34" t="n">
        <x:v>46382</x:v>
      </x:c>
      <x:c r="B696" s="40" t="str">
        <x:v>Atualidades e Inteligência Artificial</x:v>
      </x:c>
      <x:c r="C696" s="40" t="str">
        <x:v>40 - Principais Ferramentas de Mercado (Copilot, ChatGPT, META)</x:v>
      </x:c>
      <x:c r="D696" s="40" t="str">
        <x:v>Videoaula</x:v>
      </x:c>
      <x:c r="E696" s="40" t="str">
        <x:v>Não iniciado</x:v>
      </x:c>
      <x:c r="F696" s="41" t="str"/>
      <x:c r="G696" s="42" t="str"/>
      <x:c r="H696" s="40" t="str">
        <x:v>Normal</x:v>
      </x:c>
      <x:c r="I696" s="40" t="str">
        <x:f>IF(E696="Concluído","Concluído",IF(A696&lt;TODAY(),"Atrasado",IF(A696=TODAY(),"Hoje","Futuro")))</x:f>
        <x:v>Futuro</x:v>
      </x:c>
      <x:c r="J696" s="43" t="n">
        <x:f>IF(OR(E696="Concluído",A696&gt;=TODAY()),0,TODAY()-A696)</x:f>
        <x:v>0</x:v>
      </x:c>
      <x:c r="K696" s="40" t="str"/>
    </x:row>
    <x:row r="697">
      <x:c r="A697" s="34" t="n">
        <x:v>46382</x:v>
      </x:c>
      <x:c r="B697" s="40" t="str">
        <x:v>Gestão e Governança de Tecnologia da Informação</x:v>
      </x:c>
      <x:c r="C697" s="40" t="str">
        <x:v>5 - ITIL 4 - Cadeia de Valor</x:v>
      </x:c>
      <x:c r="D697" s="40" t="str">
        <x:v>Videoaula</x:v>
      </x:c>
      <x:c r="E697" s="40" t="str">
        <x:v>Não iniciado</x:v>
      </x:c>
      <x:c r="F697" s="41" t="str"/>
      <x:c r="G697" s="42" t="str"/>
      <x:c r="H697" s="40" t="str">
        <x:v>Normal</x:v>
      </x:c>
      <x:c r="I697" s="40" t="str">
        <x:f>IF(E697="Concluído","Concluído",IF(A697&lt;TODAY(),"Atrasado",IF(A697=TODAY(),"Hoje","Futuro")))</x:f>
        <x:v>Futuro</x:v>
      </x:c>
      <x:c r="J697" s="43" t="n">
        <x:f>IF(OR(E697="Concluído",A697&gt;=TODAY()),0,TODAY()-A697)</x:f>
        <x:v>0</x:v>
      </x:c>
      <x:c r="K697" s="40" t="str"/>
    </x:row>
    <x:row r="698">
      <x:c r="A698" s="34" t="n">
        <x:v>46382</x:v>
      </x:c>
      <x:c r="B698" s="40" t="str">
        <x:v>Gestão e Governança de Tecnologia da Informação</x:v>
      </x:c>
      <x:c r="C698" s="40" t="str">
        <x:v>6 - ITIL 4 - Práticas</x:v>
      </x:c>
      <x:c r="D698" s="40" t="str">
        <x:v>Videoaula</x:v>
      </x:c>
      <x:c r="E698" s="40" t="str">
        <x:v>Não iniciado</x:v>
      </x:c>
      <x:c r="F698" s="41" t="str"/>
      <x:c r="G698" s="42" t="str"/>
      <x:c r="H698" s="40" t="str">
        <x:v>Normal</x:v>
      </x:c>
      <x:c r="I698" s="40" t="str">
        <x:f>IF(E698="Concluído","Concluído",IF(A698&lt;TODAY(),"Atrasado",IF(A698=TODAY(),"Hoje","Futuro")))</x:f>
        <x:v>Futuro</x:v>
      </x:c>
      <x:c r="J698" s="43" t="n">
        <x:f>IF(OR(E698="Concluído",A698&gt;=TODAY()),0,TODAY()-A698)</x:f>
        <x:v>0</x:v>
      </x:c>
      <x:c r="K698" s="40" t="str"/>
    </x:row>
    <x:row r="699">
      <x:c r="A699" s="34" t="n">
        <x:v>46383</x:v>
      </x:c>
      <x:c r="B699" s="40" t="str">
        <x:v>Gestão e Governança de Tecnologia da Informação</x:v>
      </x:c>
      <x:c r="C699" s="40" t="str">
        <x:v>6 - ITIL 4 - Práticas</x:v>
      </x:c>
      <x:c r="D699" s="40" t="str">
        <x:v>Videoaula</x:v>
      </x:c>
      <x:c r="E699" s="40" t="str">
        <x:v>Não iniciado</x:v>
      </x:c>
      <x:c r="F699" s="41" t="str"/>
      <x:c r="G699" s="42" t="str"/>
      <x:c r="H699" s="40" t="str">
        <x:v>Normal</x:v>
      </x:c>
      <x:c r="I699" s="40" t="str">
        <x:f>IF(E699="Concluído","Concluído",IF(A699&lt;TODAY(),"Atrasado",IF(A699=TODAY(),"Hoje","Futuro")))</x:f>
        <x:v>Futuro</x:v>
      </x:c>
      <x:c r="J699" s="43" t="n">
        <x:f>IF(OR(E699="Concluído",A699&gt;=TODAY()),0,TODAY()-A699)</x:f>
        <x:v>0</x:v>
      </x:c>
      <x:c r="K699" s="40" t="str"/>
    </x:row>
    <x:row r="700">
      <x:c r="A700" s="34" t="n">
        <x:v>46383</x:v>
      </x:c>
      <x:c r="B700" s="40" t="str">
        <x:v>Inteligência Emocional</x:v>
      </x:c>
      <x:c r="C700" s="40" t="str">
        <x:v>36 - ELO 36: O Perfeccionismo e o Concurseiro</x:v>
      </x:c>
      <x:c r="D700" s="40" t="str">
        <x:v>Pdf</x:v>
      </x:c>
      <x:c r="E700" s="40" t="str">
        <x:v>Não iniciado</x:v>
      </x:c>
      <x:c r="F700" s="41" t="str"/>
      <x:c r="G700" s="42" t="str"/>
      <x:c r="H700" s="40" t="str">
        <x:v>Normal</x:v>
      </x:c>
      <x:c r="I700" s="40" t="str">
        <x:f>IF(E700="Concluído","Concluído",IF(A700&lt;TODAY(),"Atrasado",IF(A700=TODAY(),"Hoje","Futuro")))</x:f>
        <x:v>Futuro</x:v>
      </x:c>
      <x:c r="J700" s="43" t="n">
        <x:f>IF(OR(E700="Concluído",A700&gt;=TODAY()),0,TODAY()-A700)</x:f>
        <x:v>0</x:v>
      </x:c>
      <x:c r="K700" s="40" t="str"/>
    </x:row>
    <x:row r="701">
      <x:c r="A701" s="34" t="n">
        <x:v>46383</x:v>
      </x:c>
      <x:c r="B701" s="40" t="str">
        <x:v>Língua Portuguesa</x:v>
      </x:c>
      <x:c r="C701" s="40" t="str">
        <x:v>2 - Regência II</x:v>
      </x:c>
      <x:c r="D701" s="40" t="str">
        <x:v>Videoaula</x:v>
      </x:c>
      <x:c r="E701" s="40" t="str">
        <x:v>Não iniciado</x:v>
      </x:c>
      <x:c r="F701" s="41" t="str"/>
      <x:c r="G701" s="42" t="str"/>
      <x:c r="H701" s="40" t="str">
        <x:v>Normal</x:v>
      </x:c>
      <x:c r="I701" s="40" t="str">
        <x:f>IF(E701="Concluído","Concluído",IF(A701&lt;TODAY(),"Atrasado",IF(A701=TODAY(),"Hoje","Futuro")))</x:f>
        <x:v>Futuro</x:v>
      </x:c>
      <x:c r="J701" s="43" t="n">
        <x:f>IF(OR(E701="Concluído",A701&gt;=TODAY()),0,TODAY()-A701)</x:f>
        <x:v>0</x:v>
      </x:c>
      <x:c r="K701" s="40" t="str"/>
    </x:row>
    <x:row r="702">
      <x:c r="A702" s="34" t="n">
        <x:v>46383</x:v>
      </x:c>
      <x:c r="B702" s="40" t="str">
        <x:v>Língua Portuguesa</x:v>
      </x:c>
      <x:c r="C702" s="40" t="str">
        <x:v>3 - Regência III</x:v>
      </x:c>
      <x:c r="D702" s="40" t="str">
        <x:v>Videoaula</x:v>
      </x:c>
      <x:c r="E702" s="40" t="str">
        <x:v>Não iniciado</x:v>
      </x:c>
      <x:c r="F702" s="41" t="str"/>
      <x:c r="G702" s="42" t="str"/>
      <x:c r="H702" s="40" t="str">
        <x:v>Normal</x:v>
      </x:c>
      <x:c r="I702" s="40" t="str">
        <x:f>IF(E702="Concluído","Concluído",IF(A702&lt;TODAY(),"Atrasado",IF(A702=TODAY(),"Hoje","Futuro")))</x:f>
        <x:v>Futuro</x:v>
      </x:c>
      <x:c r="J702" s="43" t="n">
        <x:f>IF(OR(E702="Concluído",A702&gt;=TODAY()),0,TODAY()-A702)</x:f>
        <x:v>0</x:v>
      </x:c>
      <x:c r="K702" s="40" t="str"/>
    </x:row>
    <x:row r="703">
      <x:c r="A703" s="34" t="n">
        <x:v>46383</x:v>
      </x:c>
      <x:c r="B703" s="40" t="str">
        <x:v>Revisão</x:v>
      </x:c>
      <x:c r="C703" s="40" t="str">
        <x:v>Revisão</x:v>
      </x:c>
      <x:c r="D703" s="40" t="str">
        <x:v>Revisao</x:v>
      </x:c>
      <x:c r="E703" s="40" t="str">
        <x:v>Não iniciado</x:v>
      </x:c>
      <x:c r="F703" s="41" t="str"/>
      <x:c r="G703" s="42" t="str"/>
      <x:c r="H703" s="40" t="str">
        <x:v>Normal</x:v>
      </x:c>
      <x:c r="I703" s="40" t="str">
        <x:f>IF(E703="Concluído","Concluído",IF(A703&lt;TODAY(),"Atrasado",IF(A703=TODAY(),"Hoje","Futuro")))</x:f>
        <x:v>Futuro</x:v>
      </x:c>
      <x:c r="J703" s="43" t="n">
        <x:f>IF(OR(E703="Concluído",A703&gt;=TODAY()),0,TODAY()-A703)</x:f>
        <x:v>0</x:v>
      </x:c>
      <x:c r="K703" s="40" t="str"/>
    </x:row>
    <x:row r="704">
      <x:c r="A704" s="34" t="n">
        <x:v>46384</x:v>
      </x:c>
      <x:c r="B704" s="40" t="str">
        <x:v>Língua Portuguesa</x:v>
      </x:c>
      <x:c r="C704" s="40" t="str">
        <x:v>3 - Regência III</x:v>
      </x:c>
      <x:c r="D704" s="40" t="str">
        <x:v>Videoaula</x:v>
      </x:c>
      <x:c r="E704" s="40" t="str">
        <x:v>Não iniciado</x:v>
      </x:c>
      <x:c r="F704" s="41" t="str"/>
      <x:c r="G704" s="42" t="str"/>
      <x:c r="H704" s="40" t="str">
        <x:v>Normal</x:v>
      </x:c>
      <x:c r="I704" s="40" t="str">
        <x:f>IF(E704="Concluído","Concluído",IF(A704&lt;TODAY(),"Atrasado",IF(A704=TODAY(),"Hoje","Futuro")))</x:f>
        <x:v>Futuro</x:v>
      </x:c>
      <x:c r="J704" s="43" t="n">
        <x:f>IF(OR(E704="Concluído",A704&gt;=TODAY()),0,TODAY()-A704)</x:f>
        <x:v>0</x:v>
      </x:c>
      <x:c r="K704" s="40" t="str"/>
    </x:row>
    <x:row r="705">
      <x:c r="A705" s="34" t="n">
        <x:v>46384</x:v>
      </x:c>
      <x:c r="B705" s="40" t="str">
        <x:v>Língua Inglesa</x:v>
      </x:c>
      <x:c r="C705" s="40" t="str">
        <x:v>23 - Língua Inglesa - Continuous Tenses</x:v>
      </x:c>
      <x:c r="D705" s="40" t="str">
        <x:v>Videoaula</x:v>
      </x:c>
      <x:c r="E705" s="40" t="str">
        <x:v>Não iniciado</x:v>
      </x:c>
      <x:c r="F705" s="41" t="str"/>
      <x:c r="G705" s="42" t="str"/>
      <x:c r="H705" s="40" t="str">
        <x:v>Normal</x:v>
      </x:c>
      <x:c r="I705" s="40" t="str">
        <x:f>IF(E705="Concluído","Concluído",IF(A705&lt;TODAY(),"Atrasado",IF(A705=TODAY(),"Hoje","Futuro")))</x:f>
        <x:v>Futuro</x:v>
      </x:c>
      <x:c r="J705" s="43" t="n">
        <x:f>IF(OR(E705="Concluído",A705&gt;=TODAY()),0,TODAY()-A705)</x:f>
        <x:v>0</x:v>
      </x:c>
      <x:c r="K705" s="40" t="str"/>
    </x:row>
    <x:row r="706">
      <x:c r="A706" s="34" t="n">
        <x:v>46384</x:v>
      </x:c>
      <x:c r="B706" s="40" t="str">
        <x:v>Língua Inglesa</x:v>
      </x:c>
      <x:c r="C706" s="40" t="str">
        <x:v>24 - ING</x:v>
      </x:c>
      <x:c r="D706" s="40" t="str">
        <x:v>Videoaula</x:v>
      </x:c>
      <x:c r="E706" s="40" t="str">
        <x:v>Não iniciado</x:v>
      </x:c>
      <x:c r="F706" s="41" t="str"/>
      <x:c r="G706" s="42" t="str"/>
      <x:c r="H706" s="40" t="str">
        <x:v>Normal</x:v>
      </x:c>
      <x:c r="I706" s="40" t="str">
        <x:f>IF(E706="Concluído","Concluído",IF(A706&lt;TODAY(),"Atrasado",IF(A706=TODAY(),"Hoje","Futuro")))</x:f>
        <x:v>Futuro</x:v>
      </x:c>
      <x:c r="J706" s="43" t="n">
        <x:f>IF(OR(E706="Concluído",A706&gt;=TODAY()),0,TODAY()-A706)</x:f>
        <x:v>0</x:v>
      </x:c>
      <x:c r="K706" s="40" t="str"/>
    </x:row>
    <x:row r="707">
      <x:c r="A707" s="34" t="n">
        <x:v>46384</x:v>
      </x:c>
      <x:c r="B707" s="40" t="str">
        <x:v>Atualidades e Inteligência Artificial</x:v>
      </x:c>
      <x:c r="C707" s="40" t="str">
        <x:v>41 - Deepfakes</x:v>
      </x:c>
      <x:c r="D707" s="40" t="str">
        <x:v>Videoaula</x:v>
      </x:c>
      <x:c r="E707" s="40" t="str">
        <x:v>Não iniciado</x:v>
      </x:c>
      <x:c r="F707" s="41" t="str"/>
      <x:c r="G707" s="42" t="str"/>
      <x:c r="H707" s="40" t="str">
        <x:v>Normal</x:v>
      </x:c>
      <x:c r="I707" s="40" t="str">
        <x:f>IF(E707="Concluído","Concluído",IF(A707&lt;TODAY(),"Atrasado",IF(A707=TODAY(),"Hoje","Futuro")))</x:f>
        <x:v>Futuro</x:v>
      </x:c>
      <x:c r="J707" s="43" t="n">
        <x:f>IF(OR(E707="Concluído",A707&gt;=TODAY()),0,TODAY()-A707)</x:f>
        <x:v>0</x:v>
      </x:c>
      <x:c r="K707" s="40" t="str"/>
    </x:row>
    <x:row r="708">
      <x:c r="A708" s="34" t="n">
        <x:v>46384</x:v>
      </x:c>
      <x:c r="B708" s="40" t="str">
        <x:v>Atualidades e Inteligência Artificial</x:v>
      </x:c>
      <x:c r="C708" s="40" t="str">
        <x:v>42 - Modelos Modais</x:v>
      </x:c>
      <x:c r="D708" s="40" t="str">
        <x:v>Videoaula</x:v>
      </x:c>
      <x:c r="E708" s="40" t="str">
        <x:v>Não iniciado</x:v>
      </x:c>
      <x:c r="F708" s="41" t="str"/>
      <x:c r="G708" s="42" t="str"/>
      <x:c r="H708" s="40" t="str">
        <x:v>Normal</x:v>
      </x:c>
      <x:c r="I708" s="40" t="str">
        <x:f>IF(E708="Concluído","Concluído",IF(A708&lt;TODAY(),"Atrasado",IF(A708=TODAY(),"Hoje","Futuro")))</x:f>
        <x:v>Futuro</x:v>
      </x:c>
      <x:c r="J708" s="43" t="n">
        <x:f>IF(OR(E708="Concluído",A708&gt;=TODAY()),0,TODAY()-A708)</x:f>
        <x:v>0</x:v>
      </x:c>
      <x:c r="K708" s="40" t="str"/>
    </x:row>
    <x:row r="709">
      <x:c r="A709" s="34" t="n">
        <x:v>46385</x:v>
      </x:c>
      <x:c r="B709" s="40" t="str">
        <x:v>Atualidades e Inteligência Artificial</x:v>
      </x:c>
      <x:c r="C709" s="40" t="str">
        <x:v>42 - Modelos Modais</x:v>
      </x:c>
      <x:c r="D709" s="40" t="str">
        <x:v>Videoaula</x:v>
      </x:c>
      <x:c r="E709" s="40" t="str">
        <x:v>Não iniciado</x:v>
      </x:c>
      <x:c r="F709" s="41" t="str"/>
      <x:c r="G709" s="42" t="str"/>
      <x:c r="H709" s="40" t="str">
        <x:v>Normal</x:v>
      </x:c>
      <x:c r="I709" s="40" t="str">
        <x:f>IF(E709="Concluído","Concluído",IF(A709&lt;TODAY(),"Atrasado",IF(A709=TODAY(),"Hoje","Futuro")))</x:f>
        <x:v>Futuro</x:v>
      </x:c>
      <x:c r="J709" s="43" t="n">
        <x:f>IF(OR(E709="Concluído",A709&gt;=TODAY()),0,TODAY()-A709)</x:f>
        <x:v>0</x:v>
      </x:c>
      <x:c r="K709" s="40" t="str"/>
    </x:row>
    <x:row r="710">
      <x:c r="A710" s="34" t="n">
        <x:v>46385</x:v>
      </x:c>
      <x:c r="B710" s="40" t="str">
        <x:v>Gestão e Governança de Tecnologia da Informação</x:v>
      </x:c>
      <x:c r="C710" s="40" t="str">
        <x:v>7 - ITIL 4 - Práticas II</x:v>
      </x:c>
      <x:c r="D710" s="40" t="str">
        <x:v>Videoaula</x:v>
      </x:c>
      <x:c r="E710" s="40" t="str">
        <x:v>Não iniciado</x:v>
      </x:c>
      <x:c r="F710" s="41" t="str"/>
      <x:c r="G710" s="42" t="str"/>
      <x:c r="H710" s="40" t="str">
        <x:v>Normal</x:v>
      </x:c>
      <x:c r="I710" s="40" t="str">
        <x:f>IF(E710="Concluído","Concluído",IF(A710&lt;TODAY(),"Atrasado",IF(A710=TODAY(),"Hoje","Futuro")))</x:f>
        <x:v>Futuro</x:v>
      </x:c>
      <x:c r="J710" s="43" t="n">
        <x:f>IF(OR(E710="Concluído",A710&gt;=TODAY()),0,TODAY()-A710)</x:f>
        <x:v>0</x:v>
      </x:c>
      <x:c r="K710" s="40" t="str"/>
    </x:row>
    <x:row r="711">
      <x:c r="A711" s="34" t="n">
        <x:v>46385</x:v>
      </x:c>
      <x:c r="B711" s="40" t="str">
        <x:v>Gestão e Governança de Tecnologia da Informação</x:v>
      </x:c>
      <x:c r="C711" s="40" t="str">
        <x:v>8 - ITIL 4 - Práticas III</x:v>
      </x:c>
      <x:c r="D711" s="40" t="str">
        <x:v>Videoaula</x:v>
      </x:c>
      <x:c r="E711" s="40" t="str">
        <x:v>Não iniciado</x:v>
      </x:c>
      <x:c r="F711" s="41" t="str"/>
      <x:c r="G711" s="42" t="str"/>
      <x:c r="H711" s="40" t="str">
        <x:v>Normal</x:v>
      </x:c>
      <x:c r="I711" s="40" t="str">
        <x:f>IF(E711="Concluído","Concluído",IF(A711&lt;TODAY(),"Atrasado",IF(A711=TODAY(),"Hoje","Futuro")))</x:f>
        <x:v>Futuro</x:v>
      </x:c>
      <x:c r="J711" s="43" t="n">
        <x:f>IF(OR(E711="Concluído",A711&gt;=TODAY()),0,TODAY()-A711)</x:f>
        <x:v>0</x:v>
      </x:c>
      <x:c r="K711" s="40" t="str"/>
    </x:row>
    <x:row r="712">
      <x:c r="A712" s="34" t="n">
        <x:v>46385</x:v>
      </x:c>
      <x:c r="B712" s="40" t="str">
        <x:v>Inteligência Emocional</x:v>
      </x:c>
      <x:c r="C712" s="40" t="str">
        <x:v>37 - ELO 37: A Autocobrança e o Concurseiro</x:v>
      </x:c>
      <x:c r="D712" s="40" t="str">
        <x:v>Pdf</x:v>
      </x:c>
      <x:c r="E712" s="40" t="str">
        <x:v>Não iniciado</x:v>
      </x:c>
      <x:c r="F712" s="41" t="str"/>
      <x:c r="G712" s="42" t="str"/>
      <x:c r="H712" s="40" t="str">
        <x:v>Normal</x:v>
      </x:c>
      <x:c r="I712" s="40" t="str">
        <x:f>IF(E712="Concluído","Concluído",IF(A712&lt;TODAY(),"Atrasado",IF(A712=TODAY(),"Hoje","Futuro")))</x:f>
        <x:v>Futuro</x:v>
      </x:c>
      <x:c r="J712" s="43" t="n">
        <x:f>IF(OR(E712="Concluído",A712&gt;=TODAY()),0,TODAY()-A712)</x:f>
        <x:v>0</x:v>
      </x:c>
      <x:c r="K712" s="40" t="str"/>
    </x:row>
    <x:row r="713">
      <x:c r="A713" s="34" t="n">
        <x:v>46386</x:v>
      </x:c>
      <x:c r="B713" s="40" t="str">
        <x:v>Inteligência Emocional</x:v>
      </x:c>
      <x:c r="C713" s="40" t="str">
        <x:v>37 - ELO 37: A Autocobrança e o Concurseiro</x:v>
      </x:c>
      <x:c r="D713" s="40" t="str">
        <x:v>Pdf</x:v>
      </x:c>
      <x:c r="E713" s="40" t="str">
        <x:v>Não iniciado</x:v>
      </x:c>
      <x:c r="F713" s="41" t="str"/>
      <x:c r="G713" s="42" t="str"/>
      <x:c r="H713" s="40" t="str">
        <x:v>Normal</x:v>
      </x:c>
      <x:c r="I713" s="40" t="str">
        <x:f>IF(E713="Concluído","Concluído",IF(A713&lt;TODAY(),"Atrasado",IF(A713=TODAY(),"Hoje","Futuro")))</x:f>
        <x:v>Futuro</x:v>
      </x:c>
      <x:c r="J713" s="43" t="n">
        <x:f>IF(OR(E713="Concluído",A713&gt;=TODAY()),0,TODAY()-A713)</x:f>
        <x:v>0</x:v>
      </x:c>
      <x:c r="K713" s="40" t="str"/>
    </x:row>
    <x:row r="714">
      <x:c r="A714" s="34" t="n">
        <x:v>46386</x:v>
      </x:c>
      <x:c r="B714" s="40" t="str">
        <x:v>Língua Portuguesa</x:v>
      </x:c>
      <x:c r="C714" s="40" t="str">
        <x:v>1 - Crase</x:v>
      </x:c>
      <x:c r="D714" s="40" t="str">
        <x:v>Videoaula</x:v>
      </x:c>
      <x:c r="E714" s="40" t="str">
        <x:v>Não iniciado</x:v>
      </x:c>
      <x:c r="F714" s="41" t="str"/>
      <x:c r="G714" s="42" t="str"/>
      <x:c r="H714" s="40" t="str">
        <x:v>Normal</x:v>
      </x:c>
      <x:c r="I714" s="40" t="str">
        <x:f>IF(E714="Concluído","Concluído",IF(A714&lt;TODAY(),"Atrasado",IF(A714=TODAY(),"Hoje","Futuro")))</x:f>
        <x:v>Futuro</x:v>
      </x:c>
      <x:c r="J714" s="43" t="n">
        <x:f>IF(OR(E714="Concluído",A714&gt;=TODAY()),0,TODAY()-A714)</x:f>
        <x:v>0</x:v>
      </x:c>
      <x:c r="K714" s="40" t="str"/>
    </x:row>
    <x:row r="715">
      <x:c r="A715" s="34" t="n">
        <x:v>46386</x:v>
      </x:c>
      <x:c r="B715" s="40" t="str">
        <x:v>Língua Portuguesa</x:v>
      </x:c>
      <x:c r="C715" s="40" t="str">
        <x:v>2 - Crase II</x:v>
      </x:c>
      <x:c r="D715" s="40" t="str">
        <x:v>Videoaula</x:v>
      </x:c>
      <x:c r="E715" s="40" t="str">
        <x:v>Não iniciado</x:v>
      </x:c>
      <x:c r="F715" s="41" t="str"/>
      <x:c r="G715" s="42" t="str"/>
      <x:c r="H715" s="40" t="str">
        <x:v>Normal</x:v>
      </x:c>
      <x:c r="I715" s="40" t="str">
        <x:f>IF(E715="Concluído","Concluído",IF(A715&lt;TODAY(),"Atrasado",IF(A715=TODAY(),"Hoje","Futuro")))</x:f>
        <x:v>Futuro</x:v>
      </x:c>
      <x:c r="J715" s="43" t="n">
        <x:f>IF(OR(E715="Concluído",A715&gt;=TODAY()),0,TODAY()-A715)</x:f>
        <x:v>0</x:v>
      </x:c>
      <x:c r="K715" s="40" t="str"/>
    </x:row>
    <x:row r="716">
      <x:c r="A716" s="34" t="n">
        <x:v>46386</x:v>
      </x:c>
      <x:c r="B716" s="40" t="str">
        <x:v>Língua Inglesa</x:v>
      </x:c>
      <x:c r="C716" s="40" t="str">
        <x:v>25 - ING II</x:v>
      </x:c>
      <x:c r="D716" s="40" t="str">
        <x:v>Videoaula</x:v>
      </x:c>
      <x:c r="E716" s="40" t="str">
        <x:v>Não iniciado</x:v>
      </x:c>
      <x:c r="F716" s="41" t="str"/>
      <x:c r="G716" s="42" t="str"/>
      <x:c r="H716" s="40" t="str">
        <x:v>Normal</x:v>
      </x:c>
      <x:c r="I716" s="40" t="str">
        <x:f>IF(E716="Concluído","Concluído",IF(A716&lt;TODAY(),"Atrasado",IF(A716=TODAY(),"Hoje","Futuro")))</x:f>
        <x:v>Futuro</x:v>
      </x:c>
      <x:c r="J716" s="43" t="n">
        <x:f>IF(OR(E716="Concluído",A716&gt;=TODAY()),0,TODAY()-A716)</x:f>
        <x:v>0</x:v>
      </x:c>
      <x:c r="K716" s="40" t="str"/>
    </x:row>
    <x:row r="717">
      <x:c r="A717" s="34" t="n">
        <x:v>46386</x:v>
      </x:c>
      <x:c r="B717" s="40" t="str">
        <x:v>Língua Inglesa</x:v>
      </x:c>
      <x:c r="C717" s="40" t="str">
        <x:v>26 - Forma Verbal Enfática</x:v>
      </x:c>
      <x:c r="D717" s="40" t="str">
        <x:v>Videoaula</x:v>
      </x:c>
      <x:c r="E717" s="40" t="str">
        <x:v>Não iniciado</x:v>
      </x:c>
      <x:c r="F717" s="41" t="str"/>
      <x:c r="G717" s="42" t="str"/>
      <x:c r="H717" s="40" t="str">
        <x:v>Normal</x:v>
      </x:c>
      <x:c r="I717" s="40" t="str">
        <x:f>IF(E717="Concluído","Concluído",IF(A717&lt;TODAY(),"Atrasado",IF(A717=TODAY(),"Hoje","Futuro")))</x:f>
        <x:v>Futuro</x:v>
      </x:c>
      <x:c r="J717" s="43" t="n">
        <x:f>IF(OR(E717="Concluído",A717&gt;=TODAY()),0,TODAY()-A717)</x:f>
        <x:v>0</x:v>
      </x:c>
      <x:c r="K717" s="40" t="str"/>
    </x:row>
    <x:row r="718">
      <x:c r="A718" s="34" t="n">
        <x:v>46387</x:v>
      </x:c>
      <x:c r="B718" s="40" t="str">
        <x:v>Língua Inglesa</x:v>
      </x:c>
      <x:c r="C718" s="40" t="str">
        <x:v>26 - Forma Verbal Enfática</x:v>
      </x:c>
      <x:c r="D718" s="40" t="str">
        <x:v>Videoaula</x:v>
      </x:c>
      <x:c r="E718" s="40" t="str">
        <x:v>Não iniciado</x:v>
      </x:c>
      <x:c r="F718" s="41" t="str"/>
      <x:c r="G718" s="42" t="str"/>
      <x:c r="H718" s="40" t="str">
        <x:v>Normal</x:v>
      </x:c>
      <x:c r="I718" s="40" t="str">
        <x:f>IF(E718="Concluído","Concluído",IF(A718&lt;TODAY(),"Atrasado",IF(A718=TODAY(),"Hoje","Futuro")))</x:f>
        <x:v>Futuro</x:v>
      </x:c>
      <x:c r="J718" s="43" t="n">
        <x:f>IF(OR(E718="Concluído",A718&gt;=TODAY()),0,TODAY()-A718)</x:f>
        <x:v>0</x:v>
      </x:c>
      <x:c r="K718" s="40" t="str"/>
    </x:row>
    <x:row r="719">
      <x:c r="A719" s="34" t="n">
        <x:v>46387</x:v>
      </x:c>
      <x:c r="B719" s="40" t="str">
        <x:v>Atualidades e Inteligência Artificial</x:v>
      </x:c>
      <x:c r="C719" s="40" t="str">
        <x:v>43 - Detecção de anomalias</x:v>
      </x:c>
      <x:c r="D719" s="40" t="str">
        <x:v>Videoaula</x:v>
      </x:c>
      <x:c r="E719" s="40" t="str">
        <x:v>Não iniciado</x:v>
      </x:c>
      <x:c r="F719" s="41" t="str"/>
      <x:c r="G719" s="42" t="str"/>
      <x:c r="H719" s="40" t="str">
        <x:v>Normal</x:v>
      </x:c>
      <x:c r="I719" s="40" t="str">
        <x:f>IF(E719="Concluído","Concluído",IF(A719&lt;TODAY(),"Atrasado",IF(A719=TODAY(),"Hoje","Futuro")))</x:f>
        <x:v>Futuro</x:v>
      </x:c>
      <x:c r="J719" s="43" t="n">
        <x:f>IF(OR(E719="Concluído",A719&gt;=TODAY()),0,TODAY()-A719)</x:f>
        <x:v>0</x:v>
      </x:c>
      <x:c r="K719" s="40" t="str"/>
    </x:row>
    <x:row r="720">
      <x:c r="A720" s="34" t="n">
        <x:v>46387</x:v>
      </x:c>
      <x:c r="B720" s="40" t="str">
        <x:v>Atualidades e Inteligência Artificial</x:v>
      </x:c>
      <x:c r="C720" s="40" t="str">
        <x:v>44 - Pipeline de Machine Learnig</x:v>
      </x:c>
      <x:c r="D720" s="40" t="str">
        <x:v>Videoaula</x:v>
      </x:c>
      <x:c r="E720" s="40" t="str">
        <x:v>Não iniciado</x:v>
      </x:c>
      <x:c r="F720" s="41" t="str"/>
      <x:c r="G720" s="42" t="str"/>
      <x:c r="H720" s="40" t="str">
        <x:v>Normal</x:v>
      </x:c>
      <x:c r="I720" s="40" t="str">
        <x:f>IF(E720="Concluído","Concluído",IF(A720&lt;TODAY(),"Atrasado",IF(A720=TODAY(),"Hoje","Futuro")))</x:f>
        <x:v>Futuro</x:v>
      </x:c>
      <x:c r="J720" s="43" t="n">
        <x:f>IF(OR(E720="Concluído",A720&gt;=TODAY()),0,TODAY()-A720)</x:f>
        <x:v>0</x:v>
      </x:c>
      <x:c r="K720" s="40" t="str"/>
    </x:row>
    <x:row r="721">
      <x:c r="A721" s="34" t="n">
        <x:v>46387</x:v>
      </x:c>
      <x:c r="B721" s="40" t="str">
        <x:v>Gestão e Governança de Tecnologia da Informação</x:v>
      </x:c>
      <x:c r="C721" s="40" t="str">
        <x:v>9 - ITIL 4 - Práticas IV</x:v>
      </x:c>
      <x:c r="D721" s="40" t="str">
        <x:v>Videoaula</x:v>
      </x:c>
      <x:c r="E721" s="40" t="str">
        <x:v>Não iniciado</x:v>
      </x:c>
      <x:c r="F721" s="41" t="str"/>
      <x:c r="G721" s="42" t="str"/>
      <x:c r="H721" s="40" t="str">
        <x:v>Normal</x:v>
      </x:c>
      <x:c r="I721" s="40" t="str">
        <x:f>IF(E721="Concluído","Concluído",IF(A721&lt;TODAY(),"Atrasado",IF(A721=TODAY(),"Hoje","Futuro")))</x:f>
        <x:v>Futuro</x:v>
      </x:c>
      <x:c r="J721" s="43" t="n">
        <x:f>IF(OR(E721="Concluído",A721&gt;=TODAY()),0,TODAY()-A721)</x:f>
        <x:v>0</x:v>
      </x:c>
      <x:c r="K721" s="40" t="str"/>
    </x:row>
    <x:row r="722">
      <x:c r="A722" s="34" t="n">
        <x:v>46388</x:v>
      </x:c>
      <x:c r="B722" s="40" t="str">
        <x:v>Gestão e Governança de Tecnologia da Informação</x:v>
      </x:c>
      <x:c r="C722" s="40" t="str">
        <x:v>9 - ITIL 4 - Práticas IV</x:v>
      </x:c>
      <x:c r="D722" s="40" t="str">
        <x:v>Videoaula</x:v>
      </x:c>
      <x:c r="E722" s="40" t="str">
        <x:v>Não iniciado</x:v>
      </x:c>
      <x:c r="F722" s="41" t="str"/>
      <x:c r="G722" s="42" t="str"/>
      <x:c r="H722" s="40" t="str">
        <x:v>Normal</x:v>
      </x:c>
      <x:c r="I722" s="40" t="str">
        <x:f>IF(E722="Concluído","Concluído",IF(A722&lt;TODAY(),"Atrasado",IF(A722=TODAY(),"Hoje","Futuro")))</x:f>
        <x:v>Futuro</x:v>
      </x:c>
      <x:c r="J722" s="43" t="n">
        <x:f>IF(OR(E722="Concluído",A722&gt;=TODAY()),0,TODAY()-A722)</x:f>
        <x:v>0</x:v>
      </x:c>
      <x:c r="K722" s="40" t="str"/>
    </x:row>
    <x:row r="723">
      <x:c r="A723" s="34" t="n">
        <x:v>46388</x:v>
      </x:c>
      <x:c r="B723" s="40" t="str">
        <x:v>Gestão e Governança de Tecnologia da Informação</x:v>
      </x:c>
      <x:c r="C723" s="40" t="str">
        <x:v>10 - ITIL 4 - Práticas V</x:v>
      </x:c>
      <x:c r="D723" s="40" t="str">
        <x:v>Videoaula</x:v>
      </x:c>
      <x:c r="E723" s="40" t="str">
        <x:v>Não iniciado</x:v>
      </x:c>
      <x:c r="F723" s="41" t="str"/>
      <x:c r="G723" s="42" t="str"/>
      <x:c r="H723" s="40" t="str">
        <x:v>Normal</x:v>
      </x:c>
      <x:c r="I723" s="40" t="str">
        <x:f>IF(E723="Concluído","Concluído",IF(A723&lt;TODAY(),"Atrasado",IF(A723=TODAY(),"Hoje","Futuro")))</x:f>
        <x:v>Futuro</x:v>
      </x:c>
      <x:c r="J723" s="43" t="n">
        <x:f>IF(OR(E723="Concluído",A723&gt;=TODAY()),0,TODAY()-A723)</x:f>
        <x:v>0</x:v>
      </x:c>
      <x:c r="K723" s="40" t="str"/>
    </x:row>
    <x:row r="724">
      <x:c r="A724" s="34" t="n">
        <x:v>46388</x:v>
      </x:c>
      <x:c r="B724" s="40" t="str">
        <x:v>Inteligência Emocional</x:v>
      </x:c>
      <x:c r="C724" s="40" t="str">
        <x:v>38 - ELO 38: Neuromitos e Estudos para Concursos</x:v>
      </x:c>
      <x:c r="D724" s="40" t="str">
        <x:v>Pdf</x:v>
      </x:c>
      <x:c r="E724" s="40" t="str">
        <x:v>Não iniciado</x:v>
      </x:c>
      <x:c r="F724" s="41" t="str"/>
      <x:c r="G724" s="42" t="str"/>
      <x:c r="H724" s="40" t="str">
        <x:v>Normal</x:v>
      </x:c>
      <x:c r="I724" s="40" t="str">
        <x:f>IF(E724="Concluído","Concluído",IF(A724&lt;TODAY(),"Atrasado",IF(A724=TODAY(),"Hoje","Futuro")))</x:f>
        <x:v>Futuro</x:v>
      </x:c>
      <x:c r="J724" s="43" t="n">
        <x:f>IF(OR(E724="Concluído",A724&gt;=TODAY()),0,TODAY()-A724)</x:f>
        <x:v>0</x:v>
      </x:c>
      <x:c r="K724" s="40" t="str"/>
    </x:row>
    <x:row r="725">
      <x:c r="A725" s="34" t="n">
        <x:v>46388</x:v>
      </x:c>
      <x:c r="B725" s="40" t="str">
        <x:v>Língua Portuguesa</x:v>
      </x:c>
      <x:c r="C725" s="40" t="str">
        <x:v>3 - Crase III</x:v>
      </x:c>
      <x:c r="D725" s="40" t="str">
        <x:v>Videoaula</x:v>
      </x:c>
      <x:c r="E725" s="40" t="str">
        <x:v>Não iniciado</x:v>
      </x:c>
      <x:c r="F725" s="41" t="str"/>
      <x:c r="G725" s="42" t="str"/>
      <x:c r="H725" s="40" t="str">
        <x:v>Normal</x:v>
      </x:c>
      <x:c r="I725" s="40" t="str">
        <x:f>IF(E725="Concluído","Concluído",IF(A725&lt;TODAY(),"Atrasado",IF(A725=TODAY(),"Hoje","Futuro")))</x:f>
        <x:v>Futuro</x:v>
      </x:c>
      <x:c r="J725" s="43" t="n">
        <x:f>IF(OR(E725="Concluído",A725&gt;=TODAY()),0,TODAY()-A725)</x:f>
        <x:v>0</x:v>
      </x:c>
      <x:c r="K725" s="40" t="str"/>
    </x:row>
    <x:row r="726">
      <x:c r="A726" s="34" t="n">
        <x:v>46389</x:v>
      </x:c>
      <x:c r="B726" s="40" t="str">
        <x:v>Língua Portuguesa</x:v>
      </x:c>
      <x:c r="C726" s="40" t="str">
        <x:v>3 - Crase III</x:v>
      </x:c>
      <x:c r="D726" s="40" t="str">
        <x:v>Videoaula</x:v>
      </x:c>
      <x:c r="E726" s="40" t="str">
        <x:v>Não iniciado</x:v>
      </x:c>
      <x:c r="F726" s="41" t="str"/>
      <x:c r="G726" s="42" t="str"/>
      <x:c r="H726" s="40" t="str">
        <x:v>Normal</x:v>
      </x:c>
      <x:c r="I726" s="40" t="str">
        <x:f>IF(E726="Concluído","Concluído",IF(A726&lt;TODAY(),"Atrasado",IF(A726=TODAY(),"Hoje","Futuro")))</x:f>
        <x:v>Futuro</x:v>
      </x:c>
      <x:c r="J726" s="43" t="n">
        <x:f>IF(OR(E726="Concluído",A726&gt;=TODAY()),0,TODAY()-A726)</x:f>
        <x:v>0</x:v>
      </x:c>
      <x:c r="K726" s="40" t="str"/>
    </x:row>
    <x:row r="727">
      <x:c r="A727" s="34" t="n">
        <x:v>46389</x:v>
      </x:c>
      <x:c r="B727" s="40" t="str">
        <x:v>Língua Portuguesa</x:v>
      </x:c>
      <x:c r="C727" s="40" t="str">
        <x:v>1 - Concordância</x:v>
      </x:c>
      <x:c r="D727" s="40" t="str">
        <x:v>Videoaula</x:v>
      </x:c>
      <x:c r="E727" s="40" t="str">
        <x:v>Não iniciado</x:v>
      </x:c>
      <x:c r="F727" s="41" t="str"/>
      <x:c r="G727" s="42" t="str"/>
      <x:c r="H727" s="40" t="str">
        <x:v>Normal</x:v>
      </x:c>
      <x:c r="I727" s="40" t="str">
        <x:f>IF(E727="Concluído","Concluído",IF(A727&lt;TODAY(),"Atrasado",IF(A727=TODAY(),"Hoje","Futuro")))</x:f>
        <x:v>Futuro</x:v>
      </x:c>
      <x:c r="J727" s="43" t="n">
        <x:f>IF(OR(E727="Concluído",A727&gt;=TODAY()),0,TODAY()-A727)</x:f>
        <x:v>0</x:v>
      </x:c>
      <x:c r="K727" s="40" t="str"/>
    </x:row>
    <x:row r="728">
      <x:c r="A728" s="34" t="n">
        <x:v>46389</x:v>
      </x:c>
      <x:c r="B728" s="40" t="str">
        <x:v>Língua Inglesa</x:v>
      </x:c>
      <x:c r="C728" s="40" t="str">
        <x:v>27 - Pronomes Reflexivos</x:v>
      </x:c>
      <x:c r="D728" s="40" t="str">
        <x:v>Videoaula</x:v>
      </x:c>
      <x:c r="E728" s="40" t="str">
        <x:v>Não iniciado</x:v>
      </x:c>
      <x:c r="F728" s="41" t="str"/>
      <x:c r="G728" s="42" t="str"/>
      <x:c r="H728" s="40" t="str">
        <x:v>Normal</x:v>
      </x:c>
      <x:c r="I728" s="40" t="str">
        <x:f>IF(E728="Concluído","Concluído",IF(A728&lt;TODAY(),"Atrasado",IF(A728=TODAY(),"Hoje","Futuro")))</x:f>
        <x:v>Futuro</x:v>
      </x:c>
      <x:c r="J728" s="43" t="n">
        <x:f>IF(OR(E728="Concluído",A728&gt;=TODAY()),0,TODAY()-A728)</x:f>
        <x:v>0</x:v>
      </x:c>
      <x:c r="K728" s="40" t="str"/>
    </x:row>
    <x:row r="729">
      <x:c r="A729" s="34" t="n">
        <x:v>46389</x:v>
      </x:c>
      <x:c r="B729" s="40" t="str">
        <x:v>Língua Inglesa</x:v>
      </x:c>
      <x:c r="C729" s="40" t="str">
        <x:v>28 - If Sentences</x:v>
      </x:c>
      <x:c r="D729" s="40" t="str">
        <x:v>Videoaula</x:v>
      </x:c>
      <x:c r="E729" s="40" t="str">
        <x:v>Não iniciado</x:v>
      </x:c>
      <x:c r="F729" s="41" t="str"/>
      <x:c r="G729" s="42" t="str"/>
      <x:c r="H729" s="40" t="str">
        <x:v>Normal</x:v>
      </x:c>
      <x:c r="I729" s="40" t="str">
        <x:f>IF(E729="Concluído","Concluído",IF(A729&lt;TODAY(),"Atrasado",IF(A729=TODAY(),"Hoje","Futuro")))</x:f>
        <x:v>Futuro</x:v>
      </x:c>
      <x:c r="J729" s="43" t="n">
        <x:f>IF(OR(E729="Concluído",A729&gt;=TODAY()),0,TODAY()-A729)</x:f>
        <x:v>0</x:v>
      </x:c>
      <x:c r="K729" s="40" t="str"/>
    </x:row>
    <x:row r="730">
      <x:c r="A730" s="34" t="n">
        <x:v>46390</x:v>
      </x:c>
      <x:c r="B730" s="40" t="str">
        <x:v>Língua Inglesa</x:v>
      </x:c>
      <x:c r="C730" s="40" t="str">
        <x:v>28 - If Sentences</x:v>
      </x:c>
      <x:c r="D730" s="40" t="str">
        <x:v>Videoaula</x:v>
      </x:c>
      <x:c r="E730" s="40" t="str">
        <x:v>Não iniciado</x:v>
      </x:c>
      <x:c r="F730" s="41" t="str"/>
      <x:c r="G730" s="42" t="str"/>
      <x:c r="H730" s="40" t="str">
        <x:v>Normal</x:v>
      </x:c>
      <x:c r="I730" s="40" t="str">
        <x:f>IF(E730="Concluído","Concluído",IF(A730&lt;TODAY(),"Atrasado",IF(A730=TODAY(),"Hoje","Futuro")))</x:f>
        <x:v>Futuro</x:v>
      </x:c>
      <x:c r="J730" s="43" t="n">
        <x:f>IF(OR(E730="Concluído",A730&gt;=TODAY()),0,TODAY()-A730)</x:f>
        <x:v>0</x:v>
      </x:c>
      <x:c r="K730" s="40" t="str"/>
    </x:row>
    <x:row r="731">
      <x:c r="A731" s="34" t="n">
        <x:v>46390</x:v>
      </x:c>
      <x:c r="B731" s="40" t="str">
        <x:v>Atualidades e Inteligência Artificial</x:v>
      </x:c>
      <x:c r="C731" s="40" t="str">
        <x:v>45 - Pipeline de Machine Learnig II</x:v>
      </x:c>
      <x:c r="D731" s="40" t="str">
        <x:v>Videoaula</x:v>
      </x:c>
      <x:c r="E731" s="40" t="str">
        <x:v>Não iniciado</x:v>
      </x:c>
      <x:c r="F731" s="41" t="str"/>
      <x:c r="G731" s="42" t="str"/>
      <x:c r="H731" s="40" t="str">
        <x:v>Normal</x:v>
      </x:c>
      <x:c r="I731" s="40" t="str">
        <x:f>IF(E731="Concluído","Concluído",IF(A731&lt;TODAY(),"Atrasado",IF(A731=TODAY(),"Hoje","Futuro")))</x:f>
        <x:v>Futuro</x:v>
      </x:c>
      <x:c r="J731" s="43" t="n">
        <x:f>IF(OR(E731="Concluído",A731&gt;=TODAY()),0,TODAY()-A731)</x:f>
        <x:v>0</x:v>
      </x:c>
      <x:c r="K731" s="40" t="str"/>
    </x:row>
    <x:row r="732">
      <x:c r="A732" s="34" t="n">
        <x:v>46390</x:v>
      </x:c>
      <x:c r="B732" s="40" t="str">
        <x:v>Atualidades e Inteligência Artificial</x:v>
      </x:c>
      <x:c r="C732" s="40" t="str">
        <x:v>46 - Avaliação dos Modelos de Regressão</x:v>
      </x:c>
      <x:c r="D732" s="40" t="str">
        <x:v>Videoaula</x:v>
      </x:c>
      <x:c r="E732" s="40" t="str">
        <x:v>Não iniciado</x:v>
      </x:c>
      <x:c r="F732" s="41" t="str"/>
      <x:c r="G732" s="42" t="str"/>
      <x:c r="H732" s="40" t="str">
        <x:v>Normal</x:v>
      </x:c>
      <x:c r="I732" s="40" t="str">
        <x:f>IF(E732="Concluído","Concluído",IF(A732&lt;TODAY(),"Atrasado",IF(A732=TODAY(),"Hoje","Futuro")))</x:f>
        <x:v>Futuro</x:v>
      </x:c>
      <x:c r="J732" s="43" t="n">
        <x:f>IF(OR(E732="Concluído",A732&gt;=TODAY()),0,TODAY()-A732)</x:f>
        <x:v>0</x:v>
      </x:c>
      <x:c r="K732" s="40" t="str"/>
    </x:row>
    <x:row r="733">
      <x:c r="A733" s="34" t="n">
        <x:v>46390</x:v>
      </x:c>
      <x:c r="B733" s="40" t="str">
        <x:v>Gestão e Governança de Tecnologia da Informação</x:v>
      </x:c>
      <x:c r="C733" s="40" t="str">
        <x:v>11 - ITIL 4 - Práticas VI</x:v>
      </x:c>
      <x:c r="D733" s="40" t="str">
        <x:v>Videoaula</x:v>
      </x:c>
      <x:c r="E733" s="40" t="str">
        <x:v>Não iniciado</x:v>
      </x:c>
      <x:c r="F733" s="41" t="str"/>
      <x:c r="G733" s="42" t="str"/>
      <x:c r="H733" s="40" t="str">
        <x:v>Normal</x:v>
      </x:c>
      <x:c r="I733" s="40" t="str">
        <x:f>IF(E733="Concluído","Concluído",IF(A733&lt;TODAY(),"Atrasado",IF(A733=TODAY(),"Hoje","Futuro")))</x:f>
        <x:v>Futuro</x:v>
      </x:c>
      <x:c r="J733" s="43" t="n">
        <x:f>IF(OR(E733="Concluído",A733&gt;=TODAY()),0,TODAY()-A733)</x:f>
        <x:v>0</x:v>
      </x:c>
      <x:c r="K733" s="40" t="str"/>
    </x:row>
    <x:row r="734">
      <x:c r="A734" s="34" t="n">
        <x:v>46390</x:v>
      </x:c>
      <x:c r="B734" s="40" t="str">
        <x:v>Revisão</x:v>
      </x:c>
      <x:c r="C734" s="40" t="str">
        <x:v>Revisão</x:v>
      </x:c>
      <x:c r="D734" s="40" t="str">
        <x:v>Revisao</x:v>
      </x:c>
      <x:c r="E734" s="40" t="str">
        <x:v>Não iniciado</x:v>
      </x:c>
      <x:c r="F734" s="41" t="str"/>
      <x:c r="G734" s="42" t="str"/>
      <x:c r="H734" s="40" t="str">
        <x:v>Normal</x:v>
      </x:c>
      <x:c r="I734" s="40" t="str">
        <x:f>IF(E734="Concluído","Concluído",IF(A734&lt;TODAY(),"Atrasado",IF(A734=TODAY(),"Hoje","Futuro")))</x:f>
        <x:v>Futuro</x:v>
      </x:c>
      <x:c r="J734" s="43" t="n">
        <x:f>IF(OR(E734="Concluído",A734&gt;=TODAY()),0,TODAY()-A734)</x:f>
        <x:v>0</x:v>
      </x:c>
      <x:c r="K734" s="40" t="str"/>
    </x:row>
    <x:row r="735">
      <x:c r="A735" s="34" t="n">
        <x:v>46391</x:v>
      </x:c>
      <x:c r="B735" s="40" t="str">
        <x:v>Gestão e Governança de Tecnologia da Informação</x:v>
      </x:c>
      <x:c r="C735" s="40" t="str">
        <x:v>11 - ITIL 4 - Práticas VI</x:v>
      </x:c>
      <x:c r="D735" s="40" t="str">
        <x:v>Videoaula</x:v>
      </x:c>
      <x:c r="E735" s="40" t="str">
        <x:v>Não iniciado</x:v>
      </x:c>
      <x:c r="F735" s="41" t="str"/>
      <x:c r="G735" s="42" t="str"/>
      <x:c r="H735" s="40" t="str">
        <x:v>Normal</x:v>
      </x:c>
      <x:c r="I735" s="40" t="str">
        <x:f>IF(E735="Concluído","Concluído",IF(A735&lt;TODAY(),"Atrasado",IF(A735=TODAY(),"Hoje","Futuro")))</x:f>
        <x:v>Futuro</x:v>
      </x:c>
      <x:c r="J735" s="43" t="n">
        <x:f>IF(OR(E735="Concluído",A735&gt;=TODAY()),0,TODAY()-A735)</x:f>
        <x:v>0</x:v>
      </x:c>
      <x:c r="K735" s="40" t="str"/>
    </x:row>
    <x:row r="736">
      <x:c r="A736" s="34" t="n">
        <x:v>46391</x:v>
      </x:c>
      <x:c r="B736" s="40" t="str">
        <x:v>Gestão e Governança de Tecnologia da Informação</x:v>
      </x:c>
      <x:c r="C736" s="40" t="str">
        <x:v>12 - ITIL 4 - Práticas VII</x:v>
      </x:c>
      <x:c r="D736" s="40" t="str">
        <x:v>Videoaula</x:v>
      </x:c>
      <x:c r="E736" s="40" t="str">
        <x:v>Não iniciado</x:v>
      </x:c>
      <x:c r="F736" s="41" t="str"/>
      <x:c r="G736" s="42" t="str"/>
      <x:c r="H736" s="40" t="str">
        <x:v>Normal</x:v>
      </x:c>
      <x:c r="I736" s="40" t="str">
        <x:f>IF(E736="Concluído","Concluído",IF(A736&lt;TODAY(),"Atrasado",IF(A736=TODAY(),"Hoje","Futuro")))</x:f>
        <x:v>Futuro</x:v>
      </x:c>
      <x:c r="J736" s="43" t="n">
        <x:f>IF(OR(E736="Concluído",A736&gt;=TODAY()),0,TODAY()-A736)</x:f>
        <x:v>0</x:v>
      </x:c>
      <x:c r="K736" s="40" t="str"/>
    </x:row>
    <x:row r="737">
      <x:c r="A737" s="34" t="n">
        <x:v>46391</x:v>
      </x:c>
      <x:c r="B737" s="40" t="str">
        <x:v>Inteligência Emocional</x:v>
      </x:c>
      <x:c r="C737" s="40" t="str">
        <x:v>39 - ELO 39: Os Recomeços do Concurseiro</x:v>
      </x:c>
      <x:c r="D737" s="40" t="str">
        <x:v>Pdf</x:v>
      </x:c>
      <x:c r="E737" s="40" t="str">
        <x:v>Não iniciado</x:v>
      </x:c>
      <x:c r="F737" s="41" t="str"/>
      <x:c r="G737" s="42" t="str"/>
      <x:c r="H737" s="40" t="str">
        <x:v>Normal</x:v>
      </x:c>
      <x:c r="I737" s="40" t="str">
        <x:f>IF(E737="Concluído","Concluído",IF(A737&lt;TODAY(),"Atrasado",IF(A737=TODAY(),"Hoje","Futuro")))</x:f>
        <x:v>Futuro</x:v>
      </x:c>
      <x:c r="J737" s="43" t="n">
        <x:f>IF(OR(E737="Concluído",A737&gt;=TODAY()),0,TODAY()-A737)</x:f>
        <x:v>0</x:v>
      </x:c>
      <x:c r="K737" s="40" t="str"/>
    </x:row>
    <x:row r="738">
      <x:c r="A738" s="34" t="n">
        <x:v>46391</x:v>
      </x:c>
      <x:c r="B738" s="40" t="str">
        <x:v>Língua Portuguesa</x:v>
      </x:c>
      <x:c r="C738" s="40" t="str">
        <x:v>2 - Concordância II</x:v>
      </x:c>
      <x:c r="D738" s="40" t="str">
        <x:v>Videoaula</x:v>
      </x:c>
      <x:c r="E738" s="40" t="str">
        <x:v>Não iniciado</x:v>
      </x:c>
      <x:c r="F738" s="41" t="str"/>
      <x:c r="G738" s="42" t="str"/>
      <x:c r="H738" s="40" t="str">
        <x:v>Normal</x:v>
      </x:c>
      <x:c r="I738" s="40" t="str">
        <x:f>IF(E738="Concluído","Concluído",IF(A738&lt;TODAY(),"Atrasado",IF(A738=TODAY(),"Hoje","Futuro")))</x:f>
        <x:v>Futuro</x:v>
      </x:c>
      <x:c r="J738" s="43" t="n">
        <x:f>IF(OR(E738="Concluído",A738&gt;=TODAY()),0,TODAY()-A738)</x:f>
        <x:v>0</x:v>
      </x:c>
      <x:c r="K738" s="40" t="str"/>
    </x:row>
    <x:row r="739">
      <x:c r="A739" s="34" t="n">
        <x:v>46392</x:v>
      </x:c>
      <x:c r="B739" s="40" t="str">
        <x:v>Língua Portuguesa</x:v>
      </x:c>
      <x:c r="C739" s="40" t="str">
        <x:v>2 - Concordância II</x:v>
      </x:c>
      <x:c r="D739" s="40" t="str">
        <x:v>Videoaula</x:v>
      </x:c>
      <x:c r="E739" s="40" t="str">
        <x:v>Não iniciado</x:v>
      </x:c>
      <x:c r="F739" s="41" t="str"/>
      <x:c r="G739" s="42" t="str"/>
      <x:c r="H739" s="40" t="str">
        <x:v>Normal</x:v>
      </x:c>
      <x:c r="I739" s="40" t="str">
        <x:f>IF(E739="Concluído","Concluído",IF(A739&lt;TODAY(),"Atrasado",IF(A739=TODAY(),"Hoje","Futuro")))</x:f>
        <x:v>Futuro</x:v>
      </x:c>
      <x:c r="J739" s="43" t="n">
        <x:f>IF(OR(E739="Concluído",A739&gt;=TODAY()),0,TODAY()-A739)</x:f>
        <x:v>0</x:v>
      </x:c>
      <x:c r="K739" s="40" t="str"/>
    </x:row>
    <x:row r="740">
      <x:c r="A740" s="34" t="n">
        <x:v>46392</x:v>
      </x:c>
      <x:c r="B740" s="40" t="str">
        <x:v>Língua Portuguesa</x:v>
      </x:c>
      <x:c r="C740" s="40" t="str">
        <x:v>3 - Concordância - Exercícios</x:v>
      </x:c>
      <x:c r="D740" s="40" t="str">
        <x:v>Videoaula</x:v>
      </x:c>
      <x:c r="E740" s="40" t="str">
        <x:v>Não iniciado</x:v>
      </x:c>
      <x:c r="F740" s="41" t="str"/>
      <x:c r="G740" s="42" t="str"/>
      <x:c r="H740" s="40" t="str">
        <x:v>Normal</x:v>
      </x:c>
      <x:c r="I740" s="40" t="str">
        <x:f>IF(E740="Concluído","Concluído",IF(A740&lt;TODAY(),"Atrasado",IF(A740=TODAY(),"Hoje","Futuro")))</x:f>
        <x:v>Futuro</x:v>
      </x:c>
      <x:c r="J740" s="43" t="n">
        <x:f>IF(OR(E740="Concluído",A740&gt;=TODAY()),0,TODAY()-A740)</x:f>
        <x:v>0</x:v>
      </x:c>
      <x:c r="K740" s="40" t="str"/>
    </x:row>
    <x:row r="741">
      <x:c r="A741" s="34" t="n">
        <x:v>46392</x:v>
      </x:c>
      <x:c r="B741" s="40" t="str">
        <x:v>Língua Inglesa</x:v>
      </x:c>
      <x:c r="C741" s="40" t="str">
        <x:v>29 - If Sentences II</x:v>
      </x:c>
      <x:c r="D741" s="40" t="str">
        <x:v>Videoaula</x:v>
      </x:c>
      <x:c r="E741" s="40" t="str">
        <x:v>Não iniciado</x:v>
      </x:c>
      <x:c r="F741" s="41" t="str"/>
      <x:c r="G741" s="42" t="str"/>
      <x:c r="H741" s="40" t="str">
        <x:v>Normal</x:v>
      </x:c>
      <x:c r="I741" s="40" t="str">
        <x:f>IF(E741="Concluído","Concluído",IF(A741&lt;TODAY(),"Atrasado",IF(A741=TODAY(),"Hoje","Futuro")))</x:f>
        <x:v>Futuro</x:v>
      </x:c>
      <x:c r="J741" s="43" t="n">
        <x:f>IF(OR(E741="Concluído",A741&gt;=TODAY()),0,TODAY()-A741)</x:f>
        <x:v>0</x:v>
      </x:c>
      <x:c r="K741" s="40" t="str"/>
    </x:row>
    <x:row r="742">
      <x:c r="A742" s="34" t="n">
        <x:v>46392</x:v>
      </x:c>
      <x:c r="B742" s="40" t="str">
        <x:v>Língua Inglesa</x:v>
      </x:c>
      <x:c r="C742" s="40" t="str">
        <x:v>30 - Can, Could, Able</x:v>
      </x:c>
      <x:c r="D742" s="40" t="str">
        <x:v>Videoaula</x:v>
      </x:c>
      <x:c r="E742" s="40" t="str">
        <x:v>Não iniciado</x:v>
      </x:c>
      <x:c r="F742" s="41" t="str"/>
      <x:c r="G742" s="42" t="str"/>
      <x:c r="H742" s="40" t="str">
        <x:v>Normal</x:v>
      </x:c>
      <x:c r="I742" s="40" t="str">
        <x:f>IF(E742="Concluído","Concluído",IF(A742&lt;TODAY(),"Atrasado",IF(A742=TODAY(),"Hoje","Futuro")))</x:f>
        <x:v>Futuro</x:v>
      </x:c>
      <x:c r="J742" s="43" t="n">
        <x:f>IF(OR(E742="Concluído",A742&gt;=TODAY()),0,TODAY()-A742)</x:f>
        <x:v>0</x:v>
      </x:c>
      <x:c r="K742" s="40" t="str"/>
    </x:row>
    <x:row r="743">
      <x:c r="A743" s="34" t="n">
        <x:v>46392</x:v>
      </x:c>
      <x:c r="B743" s="40" t="str">
        <x:v>Atualidades e Inteligência Artificial</x:v>
      </x:c>
      <x:c r="C743" s="40" t="str">
        <x:v>47 - Otimização de Hiperparâmetros</x:v>
      </x:c>
      <x:c r="D743" s="40" t="str">
        <x:v>Videoaula</x:v>
      </x:c>
      <x:c r="E743" s="40" t="str">
        <x:v>Não iniciado</x:v>
      </x:c>
      <x:c r="F743" s="41" t="str"/>
      <x:c r="G743" s="42" t="str"/>
      <x:c r="H743" s="40" t="str">
        <x:v>Normal</x:v>
      </x:c>
      <x:c r="I743" s="40" t="str">
        <x:f>IF(E743="Concluído","Concluído",IF(A743&lt;TODAY(),"Atrasado",IF(A743=TODAY(),"Hoje","Futuro")))</x:f>
        <x:v>Futuro</x:v>
      </x:c>
      <x:c r="J743" s="43" t="n">
        <x:f>IF(OR(E743="Concluído",A743&gt;=TODAY()),0,TODAY()-A743)</x:f>
        <x:v>0</x:v>
      </x:c>
      <x:c r="K743" s="40" t="str"/>
    </x:row>
    <x:row r="744">
      <x:c r="A744" s="34" t="n">
        <x:v>46393</x:v>
      </x:c>
      <x:c r="B744" s="40" t="str">
        <x:v>Atualidades e Inteligência Artificial</x:v>
      </x:c>
      <x:c r="C744" s="40" t="str">
        <x:v>47 - Otimização de Hiperparâmetros</x:v>
      </x:c>
      <x:c r="D744" s="40" t="str">
        <x:v>Videoaula</x:v>
      </x:c>
      <x:c r="E744" s="40" t="str">
        <x:v>Não iniciado</x:v>
      </x:c>
      <x:c r="F744" s="41" t="str"/>
      <x:c r="G744" s="42" t="str"/>
      <x:c r="H744" s="40" t="str">
        <x:v>Normal</x:v>
      </x:c>
      <x:c r="I744" s="40" t="str">
        <x:f>IF(E744="Concluído","Concluído",IF(A744&lt;TODAY(),"Atrasado",IF(A744=TODAY(),"Hoje","Futuro")))</x:f>
        <x:v>Futuro</x:v>
      </x:c>
      <x:c r="J744" s="43" t="n">
        <x:f>IF(OR(E744="Concluído",A744&gt;=TODAY()),0,TODAY()-A744)</x:f>
        <x:v>0</x:v>
      </x:c>
      <x:c r="K744" s="40" t="str"/>
    </x:row>
    <x:row r="745">
      <x:c r="A745" s="34" t="n">
        <x:v>46393</x:v>
      </x:c>
      <x:c r="B745" s="40" t="str">
        <x:v>Atualidades e Inteligência Artificial</x:v>
      </x:c>
      <x:c r="C745" s="40" t="str">
        <x:v>48 - Dados Desbalanceados</x:v>
      </x:c>
      <x:c r="D745" s="40" t="str">
        <x:v>Videoaula</x:v>
      </x:c>
      <x:c r="E745" s="40" t="str">
        <x:v>Não iniciado</x:v>
      </x:c>
      <x:c r="F745" s="41" t="str"/>
      <x:c r="G745" s="42" t="str"/>
      <x:c r="H745" s="40" t="str">
        <x:v>Normal</x:v>
      </x:c>
      <x:c r="I745" s="40" t="str">
        <x:f>IF(E745="Concluído","Concluído",IF(A745&lt;TODAY(),"Atrasado",IF(A745=TODAY(),"Hoje","Futuro")))</x:f>
        <x:v>Futuro</x:v>
      </x:c>
      <x:c r="J745" s="43" t="n">
        <x:f>IF(OR(E745="Concluído",A745&gt;=TODAY()),0,TODAY()-A745)</x:f>
        <x:v>0</x:v>
      </x:c>
      <x:c r="K745" s="40" t="str"/>
    </x:row>
    <x:row r="746">
      <x:c r="A746" s="34" t="n">
        <x:v>46393</x:v>
      </x:c>
      <x:c r="B746" s="40" t="str">
        <x:v>Gestão e Governança de Tecnologia da Informação</x:v>
      </x:c>
      <x:c r="C746" s="40" t="str">
        <x:v>13 - ITIL 4 - Práticas VIII - Exercícios</x:v>
      </x:c>
      <x:c r="D746" s="40" t="str">
        <x:v>Videoaula</x:v>
      </x:c>
      <x:c r="E746" s="40" t="str">
        <x:v>Não iniciado</x:v>
      </x:c>
      <x:c r="F746" s="41" t="str"/>
      <x:c r="G746" s="42" t="str"/>
      <x:c r="H746" s="40" t="str">
        <x:v>Normal</x:v>
      </x:c>
      <x:c r="I746" s="40" t="str">
        <x:f>IF(E746="Concluído","Concluído",IF(A746&lt;TODAY(),"Atrasado",IF(A746=TODAY(),"Hoje","Futuro")))</x:f>
        <x:v>Futuro</x:v>
      </x:c>
      <x:c r="J746" s="43" t="n">
        <x:f>IF(OR(E746="Concluído",A746&gt;=TODAY()),0,TODAY()-A746)</x:f>
        <x:v>0</x:v>
      </x:c>
      <x:c r="K746" s="40" t="str"/>
    </x:row>
    <x:row r="747">
      <x:c r="A747" s="34" t="n">
        <x:v>46393</x:v>
      </x:c>
      <x:c r="B747" s="40" t="str">
        <x:v>Gestão e Governança de Tecnologia da Informação</x:v>
      </x:c>
      <x:c r="C747" s="40" t="str">
        <x:v>14 - ITIL 4 - Práticas IX</x:v>
      </x:c>
      <x:c r="D747" s="40" t="str">
        <x:v>Videoaula</x:v>
      </x:c>
      <x:c r="E747" s="40" t="str">
        <x:v>Não iniciado</x:v>
      </x:c>
      <x:c r="F747" s="41" t="str"/>
      <x:c r="G747" s="42" t="str"/>
      <x:c r="H747" s="40" t="str">
        <x:v>Normal</x:v>
      </x:c>
      <x:c r="I747" s="40" t="str">
        <x:f>IF(E747="Concluído","Concluído",IF(A747&lt;TODAY(),"Atrasado",IF(A747=TODAY(),"Hoje","Futuro")))</x:f>
        <x:v>Futuro</x:v>
      </x:c>
      <x:c r="J747" s="43" t="n">
        <x:f>IF(OR(E747="Concluído",A747&gt;=TODAY()),0,TODAY()-A747)</x:f>
        <x:v>0</x:v>
      </x:c>
      <x:c r="K747" s="40" t="str"/>
    </x:row>
    <x:row r="748">
      <x:c r="A748" s="34" t="n">
        <x:v>46394</x:v>
      </x:c>
      <x:c r="B748" s="40" t="str">
        <x:v>Inteligência Emocional</x:v>
      </x:c>
      <x:c r="C748" s="40" t="str">
        <x:v>40 - ELO 40: O Papel de Vítima e o Concurseiro</x:v>
      </x:c>
      <x:c r="D748" s="40" t="str">
        <x:v>Pdf</x:v>
      </x:c>
      <x:c r="E748" s="40" t="str">
        <x:v>Não iniciado</x:v>
      </x:c>
      <x:c r="F748" s="41" t="str"/>
      <x:c r="G748" s="42" t="str"/>
      <x:c r="H748" s="40" t="str">
        <x:v>Normal</x:v>
      </x:c>
      <x:c r="I748" s="40" t="str">
        <x:f>IF(E748="Concluído","Concluído",IF(A748&lt;TODAY(),"Atrasado",IF(A748=TODAY(),"Hoje","Futuro")))</x:f>
        <x:v>Futuro</x:v>
      </x:c>
      <x:c r="J748" s="43" t="n">
        <x:f>IF(OR(E748="Concluído",A748&gt;=TODAY()),0,TODAY()-A748)</x:f>
        <x:v>0</x:v>
      </x:c>
      <x:c r="K748" s="40" t="str"/>
    </x:row>
    <x:row r="749">
      <x:c r="A749" s="34" t="n">
        <x:v>46394</x:v>
      </x:c>
      <x:c r="B749" s="40" t="str">
        <x:v>Língua Portuguesa</x:v>
      </x:c>
      <x:c r="C749" s="40" t="str">
        <x:v>4 - Concordância - Exercícios II</x:v>
      </x:c>
      <x:c r="D749" s="40" t="str">
        <x:v>Videoaula</x:v>
      </x:c>
      <x:c r="E749" s="40" t="str">
        <x:v>Não iniciado</x:v>
      </x:c>
      <x:c r="F749" s="41" t="str"/>
      <x:c r="G749" s="42" t="str"/>
      <x:c r="H749" s="40" t="str">
        <x:v>Normal</x:v>
      </x:c>
      <x:c r="I749" s="40" t="str">
        <x:f>IF(E749="Concluído","Concluído",IF(A749&lt;TODAY(),"Atrasado",IF(A749=TODAY(),"Hoje","Futuro")))</x:f>
        <x:v>Futuro</x:v>
      </x:c>
      <x:c r="J749" s="43" t="n">
        <x:f>IF(OR(E749="Concluído",A749&gt;=TODAY()),0,TODAY()-A749)</x:f>
        <x:v>0</x:v>
      </x:c>
      <x:c r="K749" s="40" t="str"/>
    </x:row>
    <x:row r="750">
      <x:c r="A750" s="34" t="n">
        <x:v>46394</x:v>
      </x:c>
      <x:c r="B750" s="40" t="str">
        <x:v>Língua Portuguesa</x:v>
      </x:c>
      <x:c r="C750" s="40" t="str">
        <x:v>1 - Modos e Tempos Verbais</x:v>
      </x:c>
      <x:c r="D750" s="40" t="str">
        <x:v>Videoaula</x:v>
      </x:c>
      <x:c r="E750" s="40" t="str">
        <x:v>Não iniciado</x:v>
      </x:c>
      <x:c r="F750" s="41" t="str"/>
      <x:c r="G750" s="42" t="str"/>
      <x:c r="H750" s="40" t="str">
        <x:v>Normal</x:v>
      </x:c>
      <x:c r="I750" s="40" t="str">
        <x:f>IF(E750="Concluído","Concluído",IF(A750&lt;TODAY(),"Atrasado",IF(A750=TODAY(),"Hoje","Futuro")))</x:f>
        <x:v>Futuro</x:v>
      </x:c>
      <x:c r="J750" s="43" t="n">
        <x:f>IF(OR(E750="Concluído",A750&gt;=TODAY()),0,TODAY()-A750)</x:f>
        <x:v>0</x:v>
      </x:c>
      <x:c r="K750" s="40" t="str"/>
    </x:row>
    <x:row r="751">
      <x:c r="A751" s="34" t="n">
        <x:v>46395</x:v>
      </x:c>
      <x:c r="B751" s="40" t="str">
        <x:v>Língua Inglesa</x:v>
      </x:c>
      <x:c r="C751" s="40" t="str">
        <x:v>31 - May - Might</x:v>
      </x:c>
      <x:c r="D751" s="40" t="str">
        <x:v>Videoaula</x:v>
      </x:c>
      <x:c r="E751" s="40" t="str">
        <x:v>Não iniciado</x:v>
      </x:c>
      <x:c r="F751" s="41" t="str"/>
      <x:c r="G751" s="42" t="str"/>
      <x:c r="H751" s="40" t="str">
        <x:v>Normal</x:v>
      </x:c>
      <x:c r="I751" s="40" t="str">
        <x:f>IF(E751="Concluído","Concluído",IF(A751&lt;TODAY(),"Atrasado",IF(A751=TODAY(),"Hoje","Futuro")))</x:f>
        <x:v>Futuro</x:v>
      </x:c>
      <x:c r="J751" s="43" t="n">
        <x:f>IF(OR(E751="Concluído",A751&gt;=TODAY()),0,TODAY()-A751)</x:f>
        <x:v>0</x:v>
      </x:c>
      <x:c r="K751" s="40" t="str"/>
    </x:row>
    <x:row r="752">
      <x:c r="A752" s="34" t="n">
        <x:v>46395</x:v>
      </x:c>
      <x:c r="B752" s="40" t="str">
        <x:v>Língua Inglesa</x:v>
      </x:c>
      <x:c r="C752" s="40" t="str">
        <x:v>32 - Should - Ought to</x:v>
      </x:c>
      <x:c r="D752" s="40" t="str">
        <x:v>Videoaula</x:v>
      </x:c>
      <x:c r="E752" s="40" t="str">
        <x:v>Não iniciado</x:v>
      </x:c>
      <x:c r="F752" s="41" t="str"/>
      <x:c r="G752" s="42" t="str"/>
      <x:c r="H752" s="40" t="str">
        <x:v>Normal</x:v>
      </x:c>
      <x:c r="I752" s="40" t="str">
        <x:f>IF(E752="Concluído","Concluído",IF(A752&lt;TODAY(),"Atrasado",IF(A752=TODAY(),"Hoje","Futuro")))</x:f>
        <x:v>Futuro</x:v>
      </x:c>
      <x:c r="J752" s="43" t="n">
        <x:f>IF(OR(E752="Concluído",A752&gt;=TODAY()),0,TODAY()-A752)</x:f>
        <x:v>0</x:v>
      </x:c>
      <x:c r="K752" s="40" t="str"/>
    </x:row>
    <x:row r="753">
      <x:c r="A753" s="34" t="n">
        <x:v>46395</x:v>
      </x:c>
      <x:c r="B753" s="40" t="str">
        <x:v>Atualidades e Inteligência Artificial</x:v>
      </x:c>
      <x:c r="C753" s="40" t="str">
        <x:v>49 - Regularização de Modelos</x:v>
      </x:c>
      <x:c r="D753" s="40" t="str">
        <x:v>Videoaula</x:v>
      </x:c>
      <x:c r="E753" s="40" t="str">
        <x:v>Não iniciado</x:v>
      </x:c>
      <x:c r="F753" s="41" t="str"/>
      <x:c r="G753" s="42" t="str"/>
      <x:c r="H753" s="40" t="str">
        <x:v>Normal</x:v>
      </x:c>
      <x:c r="I753" s="40" t="str">
        <x:f>IF(E753="Concluído","Concluído",IF(A753&lt;TODAY(),"Atrasado",IF(A753=TODAY(),"Hoje","Futuro")))</x:f>
        <x:v>Futuro</x:v>
      </x:c>
      <x:c r="J753" s="43" t="n">
        <x:f>IF(OR(E753="Concluído",A753&gt;=TODAY()),0,TODAY()-A753)</x:f>
        <x:v>0</x:v>
      </x:c>
      <x:c r="K753" s="40" t="str"/>
    </x:row>
    <x:row r="754">
      <x:c r="A754" s="34" t="n">
        <x:v>46396</x:v>
      </x:c>
      <x:c r="B754" s="40" t="str">
        <x:v>Atualidades e Inteligência Artificial</x:v>
      </x:c>
      <x:c r="C754" s="40" t="str">
        <x:v>50 - Validação Cruzada</x:v>
      </x:c>
      <x:c r="D754" s="40" t="str">
        <x:v>Videoaula</x:v>
      </x:c>
      <x:c r="E754" s="40" t="str">
        <x:v>Não iniciado</x:v>
      </x:c>
      <x:c r="F754" s="41" t="str"/>
      <x:c r="G754" s="42" t="str"/>
      <x:c r="H754" s="40" t="str">
        <x:v>Normal</x:v>
      </x:c>
      <x:c r="I754" s="40" t="str">
        <x:f>IF(E754="Concluído","Concluído",IF(A754&lt;TODAY(),"Atrasado",IF(A754=TODAY(),"Hoje","Futuro")))</x:f>
        <x:v>Futuro</x:v>
      </x:c>
      <x:c r="J754" s="43" t="n">
        <x:f>IF(OR(E754="Concluído",A754&gt;=TODAY()),0,TODAY()-A754)</x:f>
        <x:v>0</x:v>
      </x:c>
      <x:c r="K754" s="40" t="str"/>
    </x:row>
    <x:row r="755">
      <x:c r="A755" s="34" t="n">
        <x:v>46396</x:v>
      </x:c>
      <x:c r="B755" s="40" t="str">
        <x:v>Gestão e Governança de Tecnologia da Informação</x:v>
      </x:c>
      <x:c r="C755" s="40" t="str">
        <x:v>1 - COBIT 2019 - Conceitos Gerais</x:v>
      </x:c>
      <x:c r="D755" s="40" t="str">
        <x:v>Videoaula</x:v>
      </x:c>
      <x:c r="E755" s="40" t="str">
        <x:v>Não iniciado</x:v>
      </x:c>
      <x:c r="F755" s="41" t="str"/>
      <x:c r="G755" s="42" t="str"/>
      <x:c r="H755" s="40" t="str">
        <x:v>Normal</x:v>
      </x:c>
      <x:c r="I755" s="40" t="str">
        <x:f>IF(E755="Concluído","Concluído",IF(A755&lt;TODAY(),"Atrasado",IF(A755=TODAY(),"Hoje","Futuro")))</x:f>
        <x:v>Futuro</x:v>
      </x:c>
      <x:c r="J755" s="43" t="n">
        <x:f>IF(OR(E755="Concluído",A755&gt;=TODAY()),0,TODAY()-A755)</x:f>
        <x:v>0</x:v>
      </x:c>
      <x:c r="K755" s="40" t="str"/>
    </x:row>
    <x:row r="756">
      <x:c r="A756" s="34" t="n">
        <x:v>46396</x:v>
      </x:c>
      <x:c r="B756" s="40" t="str">
        <x:v>Gestão e Governança de Tecnologia da Informação</x:v>
      </x:c>
      <x:c r="C756" s="40" t="str">
        <x:v>2 - COBIT 2019 - Domínios de Governança e Gestão</x:v>
      </x:c>
      <x:c r="D756" s="40" t="str">
        <x:v>Videoaula</x:v>
      </x:c>
      <x:c r="E756" s="40" t="str">
        <x:v>Não iniciado</x:v>
      </x:c>
      <x:c r="F756" s="41" t="str"/>
      <x:c r="G756" s="42" t="str"/>
      <x:c r="H756" s="40" t="str">
        <x:v>Normal</x:v>
      </x:c>
      <x:c r="I756" s="40" t="str">
        <x:f>IF(E756="Concluído","Concluído",IF(A756&lt;TODAY(),"Atrasado",IF(A756=TODAY(),"Hoje","Futuro")))</x:f>
        <x:v>Futuro</x:v>
      </x:c>
      <x:c r="J756" s="43" t="n">
        <x:f>IF(OR(E756="Concluído",A756&gt;=TODAY()),0,TODAY()-A756)</x:f>
        <x:v>0</x:v>
      </x:c>
      <x:c r="K756" s="40" t="str"/>
    </x:row>
    <x:row r="757">
      <x:c r="A757" s="34" t="n">
        <x:v>46396</x:v>
      </x:c>
      <x:c r="B757" s="40" t="str">
        <x:v>Inteligência Emocional</x:v>
      </x:c>
      <x:c r="C757" s="40" t="str">
        <x:v>41 - ELO 41: Vício em Redes Sociais e Estudos</x:v>
      </x:c>
      <x:c r="D757" s="40" t="str">
        <x:v>Pdf</x:v>
      </x:c>
      <x:c r="E757" s="40" t="str">
        <x:v>Não iniciado</x:v>
      </x:c>
      <x:c r="F757" s="41" t="str"/>
      <x:c r="G757" s="42" t="str"/>
      <x:c r="H757" s="40" t="str">
        <x:v>Normal</x:v>
      </x:c>
      <x:c r="I757" s="40" t="str">
        <x:f>IF(E757="Concluído","Concluído",IF(A757&lt;TODAY(),"Atrasado",IF(A757=TODAY(),"Hoje","Futuro")))</x:f>
        <x:v>Futuro</x:v>
      </x:c>
      <x:c r="J757" s="43" t="n">
        <x:f>IF(OR(E757="Concluído",A757&gt;=TODAY()),0,TODAY()-A757)</x:f>
        <x:v>0</x:v>
      </x:c>
      <x:c r="K757" s="40" t="str"/>
    </x:row>
    <x:row r="758">
      <x:c r="A758" s="34" t="n">
        <x:v>46397</x:v>
      </x:c>
      <x:c r="B758" s="40" t="str">
        <x:v>Inteligência Emocional</x:v>
      </x:c>
      <x:c r="C758" s="40" t="str">
        <x:v>41 - ELO 41: Vício em Redes Sociais e Estudos</x:v>
      </x:c>
      <x:c r="D758" s="40" t="str">
        <x:v>Pdf</x:v>
      </x:c>
      <x:c r="E758" s="40" t="str">
        <x:v>Não iniciado</x:v>
      </x:c>
      <x:c r="F758" s="41" t="str"/>
      <x:c r="G758" s="42" t="str"/>
      <x:c r="H758" s="40" t="str">
        <x:v>Normal</x:v>
      </x:c>
      <x:c r="I758" s="40" t="str">
        <x:f>IF(E758="Concluído","Concluído",IF(A758&lt;TODAY(),"Atrasado",IF(A758=TODAY(),"Hoje","Futuro")))</x:f>
        <x:v>Futuro</x:v>
      </x:c>
      <x:c r="J758" s="43" t="n">
        <x:f>IF(OR(E758="Concluído",A758&gt;=TODAY()),0,TODAY()-A758)</x:f>
        <x:v>0</x:v>
      </x:c>
      <x:c r="K758" s="40" t="str"/>
    </x:row>
    <x:row r="759">
      <x:c r="A759" s="34" t="n">
        <x:v>46397</x:v>
      </x:c>
      <x:c r="B759" s="40" t="str">
        <x:v>Língua Portuguesa</x:v>
      </x:c>
      <x:c r="C759" s="40" t="str">
        <x:v>2 - Tempos Verbais e Modalizadores do Discurso</x:v>
      </x:c>
      <x:c r="D759" s="40" t="str">
        <x:v>Videoaula</x:v>
      </x:c>
      <x:c r="E759" s="40" t="str">
        <x:v>Não iniciado</x:v>
      </x:c>
      <x:c r="F759" s="41" t="str"/>
      <x:c r="G759" s="42" t="str"/>
      <x:c r="H759" s="40" t="str">
        <x:v>Normal</x:v>
      </x:c>
      <x:c r="I759" s="40" t="str">
        <x:f>IF(E759="Concluído","Concluído",IF(A759&lt;TODAY(),"Atrasado",IF(A759=TODAY(),"Hoje","Futuro")))</x:f>
        <x:v>Futuro</x:v>
      </x:c>
      <x:c r="J759" s="43" t="n">
        <x:f>IF(OR(E759="Concluído",A759&gt;=TODAY()),0,TODAY()-A759)</x:f>
        <x:v>0</x:v>
      </x:c>
      <x:c r="K759" s="40" t="str"/>
    </x:row>
    <x:row r="760">
      <x:c r="A760" s="34" t="n">
        <x:v>46397</x:v>
      </x:c>
      <x:c r="B760" s="40" t="str">
        <x:v>Língua Portuguesa</x:v>
      </x:c>
      <x:c r="C760" s="40" t="str">
        <x:v>3 - Tempos Verbais</x:v>
      </x:c>
      <x:c r="D760" s="40" t="str">
        <x:v>Videoaula</x:v>
      </x:c>
      <x:c r="E760" s="40" t="str">
        <x:v>Não iniciado</x:v>
      </x:c>
      <x:c r="F760" s="41" t="str"/>
      <x:c r="G760" s="42" t="str"/>
      <x:c r="H760" s="40" t="str">
        <x:v>Normal</x:v>
      </x:c>
      <x:c r="I760" s="40" t="str">
        <x:f>IF(E760="Concluído","Concluído",IF(A760&lt;TODAY(),"Atrasado",IF(A760=TODAY(),"Hoje","Futuro")))</x:f>
        <x:v>Futuro</x:v>
      </x:c>
      <x:c r="J760" s="43" t="n">
        <x:f>IF(OR(E760="Concluído",A760&gt;=TODAY()),0,TODAY()-A760)</x:f>
        <x:v>0</x:v>
      </x:c>
      <x:c r="K760" s="40" t="str"/>
    </x:row>
    <x:row r="761">
      <x:c r="A761" s="34" t="n">
        <x:v>46397</x:v>
      </x:c>
      <x:c r="B761" s="40" t="str">
        <x:v>Língua Inglesa</x:v>
      </x:c>
      <x:c r="C761" s="40" t="str">
        <x:v>33 - Must - Must Not</x:v>
      </x:c>
      <x:c r="D761" s="40" t="str">
        <x:v>Videoaula</x:v>
      </x:c>
      <x:c r="E761" s="40" t="str">
        <x:v>Não iniciado</x:v>
      </x:c>
      <x:c r="F761" s="41" t="str"/>
      <x:c r="G761" s="42" t="str"/>
      <x:c r="H761" s="40" t="str">
        <x:v>Normal</x:v>
      </x:c>
      <x:c r="I761" s="40" t="str">
        <x:f>IF(E761="Concluído","Concluído",IF(A761&lt;TODAY(),"Atrasado",IF(A761=TODAY(),"Hoje","Futuro")))</x:f>
        <x:v>Futuro</x:v>
      </x:c>
      <x:c r="J761" s="43" t="n">
        <x:f>IF(OR(E761="Concluído",A761&gt;=TODAY()),0,TODAY()-A761)</x:f>
        <x:v>0</x:v>
      </x:c>
      <x:c r="K761" s="40" t="str"/>
    </x:row>
    <x:row r="762">
      <x:c r="A762" s="34" t="n">
        <x:v>46397</x:v>
      </x:c>
      <x:c r="B762" s="40" t="str">
        <x:v>Revisão</x:v>
      </x:c>
      <x:c r="C762" s="40" t="str">
        <x:v>Revisão</x:v>
      </x:c>
      <x:c r="D762" s="40" t="str">
        <x:v>Revisao</x:v>
      </x:c>
      <x:c r="E762" s="40" t="str">
        <x:v>Não iniciado</x:v>
      </x:c>
      <x:c r="F762" s="41" t="str"/>
      <x:c r="G762" s="42" t="str"/>
      <x:c r="H762" s="40" t="str">
        <x:v>Normal</x:v>
      </x:c>
      <x:c r="I762" s="40" t="str">
        <x:f>IF(E762="Concluído","Concluído",IF(A762&lt;TODAY(),"Atrasado",IF(A762=TODAY(),"Hoje","Futuro")))</x:f>
        <x:v>Futuro</x:v>
      </x:c>
      <x:c r="J762" s="43" t="n">
        <x:f>IF(OR(E762="Concluído",A762&gt;=TODAY()),0,TODAY()-A762)</x:f>
        <x:v>0</x:v>
      </x:c>
      <x:c r="K762" s="40" t="str"/>
    </x:row>
    <x:row r="763">
      <x:c r="A763" s="34" t="n">
        <x:v>46398</x:v>
      </x:c>
      <x:c r="B763" s="40" t="str">
        <x:v>Língua Inglesa</x:v>
      </x:c>
      <x:c r="C763" s="40" t="str">
        <x:v>33 - Must - Must Not</x:v>
      </x:c>
      <x:c r="D763" s="40" t="str">
        <x:v>Videoaula</x:v>
      </x:c>
      <x:c r="E763" s="40" t="str">
        <x:v>Não iniciado</x:v>
      </x:c>
      <x:c r="F763" s="41" t="str"/>
      <x:c r="G763" s="42" t="str"/>
      <x:c r="H763" s="40" t="str">
        <x:v>Normal</x:v>
      </x:c>
      <x:c r="I763" s="40" t="str">
        <x:f>IF(E763="Concluído","Concluído",IF(A763&lt;TODAY(),"Atrasado",IF(A763=TODAY(),"Hoje","Futuro")))</x:f>
        <x:v>Futuro</x:v>
      </x:c>
      <x:c r="J763" s="43" t="n">
        <x:f>IF(OR(E763="Concluído",A763&gt;=TODAY()),0,TODAY()-A763)</x:f>
        <x:v>0</x:v>
      </x:c>
      <x:c r="K763" s="40" t="str"/>
    </x:row>
    <x:row r="764">
      <x:c r="A764" s="34" t="n">
        <x:v>46398</x:v>
      </x:c>
      <x:c r="B764" s="40" t="str">
        <x:v>Língua Inglesa</x:v>
      </x:c>
      <x:c r="C764" s="40" t="str">
        <x:v>34 - Ilusão de Óptica</x:v>
      </x:c>
      <x:c r="D764" s="40" t="str">
        <x:v>Videoaula</x:v>
      </x:c>
      <x:c r="E764" s="40" t="str">
        <x:v>Não iniciado</x:v>
      </x:c>
      <x:c r="F764" s="41" t="str"/>
      <x:c r="G764" s="42" t="str"/>
      <x:c r="H764" s="40" t="str">
        <x:v>Normal</x:v>
      </x:c>
      <x:c r="I764" s="40" t="str">
        <x:f>IF(E764="Concluído","Concluído",IF(A764&lt;TODAY(),"Atrasado",IF(A764=TODAY(),"Hoje","Futuro")))</x:f>
        <x:v>Futuro</x:v>
      </x:c>
      <x:c r="J764" s="43" t="n">
        <x:f>IF(OR(E764="Concluído",A764&gt;=TODAY()),0,TODAY()-A764)</x:f>
        <x:v>0</x:v>
      </x:c>
      <x:c r="K764" s="40" t="str"/>
    </x:row>
    <x:row r="765">
      <x:c r="A765" s="34" t="n">
        <x:v>46398</x:v>
      </x:c>
      <x:c r="B765" s="40" t="str">
        <x:v>Atualidades e Inteligência Artificial</x:v>
      </x:c>
      <x:c r="C765" s="40" t="str">
        <x:v>51 - Interpretabilidade de Modelos</x:v>
      </x:c>
      <x:c r="D765" s="40" t="str">
        <x:v>Videoaula</x:v>
      </x:c>
      <x:c r="E765" s="40" t="str">
        <x:v>Não iniciado</x:v>
      </x:c>
      <x:c r="F765" s="41" t="str"/>
      <x:c r="G765" s="42" t="str"/>
      <x:c r="H765" s="40" t="str">
        <x:v>Normal</x:v>
      </x:c>
      <x:c r="I765" s="40" t="str">
        <x:f>IF(E765="Concluído","Concluído",IF(A765&lt;TODAY(),"Atrasado",IF(A765=TODAY(),"Hoje","Futuro")))</x:f>
        <x:v>Futuro</x:v>
      </x:c>
      <x:c r="J765" s="43" t="n">
        <x:f>IF(OR(E765="Concluído",A765&gt;=TODAY()),0,TODAY()-A765)</x:f>
        <x:v>0</x:v>
      </x:c>
      <x:c r="K765" s="40" t="str"/>
    </x:row>
    <x:row r="766">
      <x:c r="A766" s="34" t="n">
        <x:v>46398</x:v>
      </x:c>
      <x:c r="B766" s="40" t="str">
        <x:v>Atualidades e Inteligência Artificial</x:v>
      </x:c>
      <x:c r="C766" s="40" t="str">
        <x:v>52 - Ensembling de Modelos</x:v>
      </x:c>
      <x:c r="D766" s="40" t="str">
        <x:v>Videoaula</x:v>
      </x:c>
      <x:c r="E766" s="40" t="str">
        <x:v>Não iniciado</x:v>
      </x:c>
      <x:c r="F766" s="41" t="str"/>
      <x:c r="G766" s="42" t="str"/>
      <x:c r="H766" s="40" t="str">
        <x:v>Normal</x:v>
      </x:c>
      <x:c r="I766" s="40" t="str">
        <x:f>IF(E766="Concluído","Concluído",IF(A766&lt;TODAY(),"Atrasado",IF(A766=TODAY(),"Hoje","Futuro")))</x:f>
        <x:v>Futuro</x:v>
      </x:c>
      <x:c r="J766" s="43" t="n">
        <x:f>IF(OR(E766="Concluído",A766&gt;=TODAY()),0,TODAY()-A766)</x:f>
        <x:v>0</x:v>
      </x:c>
      <x:c r="K766" s="40" t="str"/>
    </x:row>
    <x:row r="767">
      <x:c r="A767" s="34" t="n">
        <x:v>46399</x:v>
      </x:c>
      <x:c r="B767" s="40" t="str">
        <x:v>Atualidades e Inteligência Artificial</x:v>
      </x:c>
      <x:c r="C767" s="40" t="str">
        <x:v>52 - Ensembling de Modelos</x:v>
      </x:c>
      <x:c r="D767" s="40" t="str">
        <x:v>Videoaula</x:v>
      </x:c>
      <x:c r="E767" s="40" t="str">
        <x:v>Não iniciado</x:v>
      </x:c>
      <x:c r="F767" s="41" t="str"/>
      <x:c r="G767" s="42" t="str"/>
      <x:c r="H767" s="40" t="str">
        <x:v>Normal</x:v>
      </x:c>
      <x:c r="I767" s="40" t="str">
        <x:f>IF(E767="Concluído","Concluído",IF(A767&lt;TODAY(),"Atrasado",IF(A767=TODAY(),"Hoje","Futuro")))</x:f>
        <x:v>Futuro</x:v>
      </x:c>
      <x:c r="J767" s="43" t="n">
        <x:f>IF(OR(E767="Concluído",A767&gt;=TODAY()),0,TODAY()-A767)</x:f>
        <x:v>0</x:v>
      </x:c>
      <x:c r="K767" s="40" t="str"/>
    </x:row>
    <x:row r="768">
      <x:c r="A768" s="34" t="n">
        <x:v>46399</x:v>
      </x:c>
      <x:c r="B768" s="40" t="str">
        <x:v>Gestão e Governança de Tecnologia da Informação</x:v>
      </x:c>
      <x:c r="C768" s="40" t="str">
        <x:v>3 - COBIT 2019 - Domínios de Governança e Gestão II</x:v>
      </x:c>
      <x:c r="D768" s="40" t="str">
        <x:v>Videoaula</x:v>
      </x:c>
      <x:c r="E768" s="40" t="str">
        <x:v>Não iniciado</x:v>
      </x:c>
      <x:c r="F768" s="41" t="str"/>
      <x:c r="G768" s="42" t="str"/>
      <x:c r="H768" s="40" t="str">
        <x:v>Normal</x:v>
      </x:c>
      <x:c r="I768" s="40" t="str">
        <x:f>IF(E768="Concluído","Concluído",IF(A768&lt;TODAY(),"Atrasado",IF(A768=TODAY(),"Hoje","Futuro")))</x:f>
        <x:v>Futuro</x:v>
      </x:c>
      <x:c r="J768" s="43" t="n">
        <x:f>IF(OR(E768="Concluído",A768&gt;=TODAY()),0,TODAY()-A768)</x:f>
        <x:v>0</x:v>
      </x:c>
      <x:c r="K768" s="40" t="str"/>
    </x:row>
    <x:row r="769">
      <x:c r="A769" s="34" t="n">
        <x:v>46399</x:v>
      </x:c>
      <x:c r="B769" s="40" t="str">
        <x:v>Gestão e Governança de Tecnologia da Informação</x:v>
      </x:c>
      <x:c r="C769" s="40" t="str">
        <x:v>4 - COBIT 2019 - Domínios de Governança e Gestão III</x:v>
      </x:c>
      <x:c r="D769" s="40" t="str">
        <x:v>Videoaula</x:v>
      </x:c>
      <x:c r="E769" s="40" t="str">
        <x:v>Não iniciado</x:v>
      </x:c>
      <x:c r="F769" s="41" t="str"/>
      <x:c r="G769" s="42" t="str"/>
      <x:c r="H769" s="40" t="str">
        <x:v>Normal</x:v>
      </x:c>
      <x:c r="I769" s="40" t="str">
        <x:f>IF(E769="Concluído","Concluído",IF(A769&lt;TODAY(),"Atrasado",IF(A769=TODAY(),"Hoje","Futuro")))</x:f>
        <x:v>Futuro</x:v>
      </x:c>
      <x:c r="J769" s="43" t="n">
        <x:f>IF(OR(E769="Concluído",A769&gt;=TODAY()),0,TODAY()-A769)</x:f>
        <x:v>0</x:v>
      </x:c>
      <x:c r="K769" s="40" t="str"/>
    </x:row>
    <x:row r="770">
      <x:c r="A770" s="34" t="n">
        <x:v>46399</x:v>
      </x:c>
      <x:c r="B770" s="40" t="str">
        <x:v>Inteligência Emocional</x:v>
      </x:c>
      <x:c r="C770" s="40" t="str">
        <x:v>42 - ELO 42: A Procrastinação e os Estudos</x:v>
      </x:c>
      <x:c r="D770" s="40" t="str">
        <x:v>Pdf</x:v>
      </x:c>
      <x:c r="E770" s="40" t="str">
        <x:v>Não iniciado</x:v>
      </x:c>
      <x:c r="F770" s="41" t="str"/>
      <x:c r="G770" s="42" t="str"/>
      <x:c r="H770" s="40" t="str">
        <x:v>Normal</x:v>
      </x:c>
      <x:c r="I770" s="40" t="str">
        <x:f>IF(E770="Concluído","Concluído",IF(A770&lt;TODAY(),"Atrasado",IF(A770=TODAY(),"Hoje","Futuro")))</x:f>
        <x:v>Futuro</x:v>
      </x:c>
      <x:c r="J770" s="43" t="n">
        <x:f>IF(OR(E770="Concluído",A770&gt;=TODAY()),0,TODAY()-A770)</x:f>
        <x:v>0</x:v>
      </x:c>
      <x:c r="K770" s="40" t="str"/>
    </x:row>
    <x:row r="771">
      <x:c r="A771" s="34" t="n">
        <x:v>46399</x:v>
      </x:c>
      <x:c r="B771" s="40" t="str">
        <x:v>Língua Portuguesa</x:v>
      </x:c>
      <x:c r="C771" s="40" t="str">
        <x:v>4 - Conjugação Verbal</x:v>
      </x:c>
      <x:c r="D771" s="40" t="str">
        <x:v>Videoaula</x:v>
      </x:c>
      <x:c r="E771" s="40" t="str">
        <x:v>Não iniciado</x:v>
      </x:c>
      <x:c r="F771" s="41" t="str"/>
      <x:c r="G771" s="42" t="str"/>
      <x:c r="H771" s="40" t="str">
        <x:v>Normal</x:v>
      </x:c>
      <x:c r="I771" s="40" t="str">
        <x:f>IF(E771="Concluído","Concluído",IF(A771&lt;TODAY(),"Atrasado",IF(A771=TODAY(),"Hoje","Futuro")))</x:f>
        <x:v>Futuro</x:v>
      </x:c>
      <x:c r="J771" s="43" t="n">
        <x:f>IF(OR(E771="Concluído",A771&gt;=TODAY()),0,TODAY()-A771)</x:f>
        <x:v>0</x:v>
      </x:c>
      <x:c r="K771" s="40" t="str"/>
    </x:row>
    <x:row r="772">
      <x:c r="A772" s="34" t="n">
        <x:v>46400</x:v>
      </x:c>
      <x:c r="B772" s="40" t="str">
        <x:v>Língua Portuguesa</x:v>
      </x:c>
      <x:c r="C772" s="40" t="str">
        <x:v>4 - Conjugação Verbal</x:v>
      </x:c>
      <x:c r="D772" s="40" t="str">
        <x:v>Videoaula</x:v>
      </x:c>
      <x:c r="E772" s="40" t="str">
        <x:v>Não iniciado</x:v>
      </x:c>
      <x:c r="F772" s="41" t="str"/>
      <x:c r="G772" s="42" t="str"/>
      <x:c r="H772" s="40" t="str">
        <x:v>Normal</x:v>
      </x:c>
      <x:c r="I772" s="40" t="str">
        <x:f>IF(E772="Concluído","Concluído",IF(A772&lt;TODAY(),"Atrasado",IF(A772=TODAY(),"Hoje","Futuro")))</x:f>
        <x:v>Futuro</x:v>
      </x:c>
      <x:c r="J772" s="43" t="n">
        <x:f>IF(OR(E772="Concluído",A772&gt;=TODAY()),0,TODAY()-A772)</x:f>
        <x:v>0</x:v>
      </x:c>
      <x:c r="K772" s="40" t="str"/>
    </x:row>
    <x:row r="773">
      <x:c r="A773" s="34" t="n">
        <x:v>46400</x:v>
      </x:c>
      <x:c r="B773" s="40" t="str">
        <x:v>Língua Portuguesa</x:v>
      </x:c>
      <x:c r="C773" s="40" t="str">
        <x:v>5 - Verbo - Exercícios</x:v>
      </x:c>
      <x:c r="D773" s="40" t="str">
        <x:v>Videoaula</x:v>
      </x:c>
      <x:c r="E773" s="40" t="str">
        <x:v>Não iniciado</x:v>
      </x:c>
      <x:c r="F773" s="41" t="str"/>
      <x:c r="G773" s="42" t="str"/>
      <x:c r="H773" s="40" t="str">
        <x:v>Normal</x:v>
      </x:c>
      <x:c r="I773" s="40" t="str">
        <x:f>IF(E773="Concluído","Concluído",IF(A773&lt;TODAY(),"Atrasado",IF(A773=TODAY(),"Hoje","Futuro")))</x:f>
        <x:v>Futuro</x:v>
      </x:c>
      <x:c r="J773" s="43" t="n">
        <x:f>IF(OR(E773="Concluído",A773&gt;=TODAY()),0,TODAY()-A773)</x:f>
        <x:v>0</x:v>
      </x:c>
      <x:c r="K773" s="40" t="str"/>
    </x:row>
    <x:row r="774">
      <x:c r="A774" s="34" t="n">
        <x:v>46400</x:v>
      </x:c>
      <x:c r="B774" s="40" t="str">
        <x:v>Língua Inglesa</x:v>
      </x:c>
      <x:c r="C774" s="40" t="str">
        <x:v>35 - Present Perfect</x:v>
      </x:c>
      <x:c r="D774" s="40" t="str">
        <x:v>Videoaula</x:v>
      </x:c>
      <x:c r="E774" s="40" t="str">
        <x:v>Não iniciado</x:v>
      </x:c>
      <x:c r="F774" s="41" t="str"/>
      <x:c r="G774" s="42" t="str"/>
      <x:c r="H774" s="40" t="str">
        <x:v>Normal</x:v>
      </x:c>
      <x:c r="I774" s="40" t="str">
        <x:f>IF(E774="Concluído","Concluído",IF(A774&lt;TODAY(),"Atrasado",IF(A774=TODAY(),"Hoje","Futuro")))</x:f>
        <x:v>Futuro</x:v>
      </x:c>
      <x:c r="J774" s="43" t="n">
        <x:f>IF(OR(E774="Concluído",A774&gt;=TODAY()),0,TODAY()-A774)</x:f>
        <x:v>0</x:v>
      </x:c>
      <x:c r="K774" s="40" t="str"/>
    </x:row>
    <x:row r="775">
      <x:c r="A775" s="34" t="n">
        <x:v>46400</x:v>
      </x:c>
      <x:c r="B775" s="40" t="str">
        <x:v>Língua Inglesa</x:v>
      </x:c>
      <x:c r="C775" s="40" t="str">
        <x:v>36 - Present Perfect Continuous</x:v>
      </x:c>
      <x:c r="D775" s="40" t="str">
        <x:v>Videoaula</x:v>
      </x:c>
      <x:c r="E775" s="40" t="str">
        <x:v>Não iniciado</x:v>
      </x:c>
      <x:c r="F775" s="41" t="str"/>
      <x:c r="G775" s="42" t="str"/>
      <x:c r="H775" s="40" t="str">
        <x:v>Normal</x:v>
      </x:c>
      <x:c r="I775" s="40" t="str">
        <x:f>IF(E775="Concluído","Concluído",IF(A775&lt;TODAY(),"Atrasado",IF(A775=TODAY(),"Hoje","Futuro")))</x:f>
        <x:v>Futuro</x:v>
      </x:c>
      <x:c r="J775" s="43" t="n">
        <x:f>IF(OR(E775="Concluído",A775&gt;=TODAY()),0,TODAY()-A775)</x:f>
        <x:v>0</x:v>
      </x:c>
      <x:c r="K775" s="40" t="str"/>
    </x:row>
    <x:row r="776">
      <x:c r="A776" s="34" t="n">
        <x:v>46401</x:v>
      </x:c>
      <x:c r="B776" s="40" t="str">
        <x:v>Atualidades e Inteligência Artificial</x:v>
      </x:c>
      <x:c r="C776" s="40" t="str">
        <x:v>53 - Monitoramento de Modelos</x:v>
      </x:c>
      <x:c r="D776" s="40" t="str">
        <x:v>Videoaula</x:v>
      </x:c>
      <x:c r="E776" s="40" t="str">
        <x:v>Não iniciado</x:v>
      </x:c>
      <x:c r="F776" s="41" t="str"/>
      <x:c r="G776" s="42" t="str"/>
      <x:c r="H776" s="40" t="str">
        <x:v>Normal</x:v>
      </x:c>
      <x:c r="I776" s="40" t="str">
        <x:f>IF(E776="Concluído","Concluído",IF(A776&lt;TODAY(),"Atrasado",IF(A776=TODAY(),"Hoje","Futuro")))</x:f>
        <x:v>Futuro</x:v>
      </x:c>
      <x:c r="J776" s="43" t="n">
        <x:f>IF(OR(E776="Concluído",A776&gt;=TODAY()),0,TODAY()-A776)</x:f>
        <x:v>0</x:v>
      </x:c>
      <x:c r="K776" s="40" t="str"/>
    </x:row>
    <x:row r="777">
      <x:c r="A777" s="34" t="n">
        <x:v>46401</x:v>
      </x:c>
      <x:c r="B777" s="40" t="str">
        <x:v>Atualidades e Inteligência Artificial</x:v>
      </x:c>
      <x:c r="C777" s="40" t="str">
        <x:v>54 - Sistemas de Recomendação</x:v>
      </x:c>
      <x:c r="D777" s="40" t="str">
        <x:v>Videoaula</x:v>
      </x:c>
      <x:c r="E777" s="40" t="str">
        <x:v>Não iniciado</x:v>
      </x:c>
      <x:c r="F777" s="41" t="str"/>
      <x:c r="G777" s="42" t="str"/>
      <x:c r="H777" s="40" t="str">
        <x:v>Normal</x:v>
      </x:c>
      <x:c r="I777" s="40" t="str">
        <x:f>IF(E777="Concluído","Concluído",IF(A777&lt;TODAY(),"Atrasado",IF(A777=TODAY(),"Hoje","Futuro")))</x:f>
        <x:v>Futuro</x:v>
      </x:c>
      <x:c r="J777" s="43" t="n">
        <x:f>IF(OR(E777="Concluído",A777&gt;=TODAY()),0,TODAY()-A777)</x:f>
        <x:v>0</x:v>
      </x:c>
      <x:c r="K777" s="40" t="str"/>
    </x:row>
    <x:row r="778">
      <x:c r="A778" s="34" t="n">
        <x:v>46401</x:v>
      </x:c>
      <x:c r="B778" s="40" t="str">
        <x:v>Gestão e Governança de Tecnologia da Informação</x:v>
      </x:c>
      <x:c r="C778" s="40" t="str">
        <x:v>5 - COBIT 2019 - Domínios de Governança e Gestão IV</x:v>
      </x:c>
      <x:c r="D778" s="40" t="str">
        <x:v>Videoaula</x:v>
      </x:c>
      <x:c r="E778" s="40" t="str">
        <x:v>Não iniciado</x:v>
      </x:c>
      <x:c r="F778" s="41" t="str"/>
      <x:c r="G778" s="42" t="str"/>
      <x:c r="H778" s="40" t="str">
        <x:v>Normal</x:v>
      </x:c>
      <x:c r="I778" s="40" t="str">
        <x:f>IF(E778="Concluído","Concluído",IF(A778&lt;TODAY(),"Atrasado",IF(A778=TODAY(),"Hoje","Futuro")))</x:f>
        <x:v>Futuro</x:v>
      </x:c>
      <x:c r="J778" s="43" t="n">
        <x:f>IF(OR(E778="Concluído",A778&gt;=TODAY()),0,TODAY()-A778)</x:f>
        <x:v>0</x:v>
      </x:c>
      <x:c r="K778" s="40" t="str"/>
    </x:row>
    <x:row r="779">
      <x:c r="A779" s="34" t="n">
        <x:v>46401</x:v>
      </x:c>
      <x:c r="B779" s="40" t="str">
        <x:v>Gestão e Governança de Tecnologia da Informação</x:v>
      </x:c>
      <x:c r="C779" s="40" t="str">
        <x:v>6 - COBIT 2019 - Domínios de Governança e Gestão V</x:v>
      </x:c>
      <x:c r="D779" s="40" t="str">
        <x:v>Videoaula</x:v>
      </x:c>
      <x:c r="E779" s="40" t="str">
        <x:v>Não iniciado</x:v>
      </x:c>
      <x:c r="F779" s="41" t="str"/>
      <x:c r="G779" s="42" t="str"/>
      <x:c r="H779" s="40" t="str">
        <x:v>Normal</x:v>
      </x:c>
      <x:c r="I779" s="40" t="str">
        <x:f>IF(E779="Concluído","Concluído",IF(A779&lt;TODAY(),"Atrasado",IF(A779=TODAY(),"Hoje","Futuro")))</x:f>
        <x:v>Futuro</x:v>
      </x:c>
      <x:c r="J779" s="43" t="n">
        <x:f>IF(OR(E779="Concluído",A779&gt;=TODAY()),0,TODAY()-A779)</x:f>
        <x:v>0</x:v>
      </x:c>
      <x:c r="K779" s="40" t="str"/>
    </x:row>
    <x:row r="780">
      <x:c r="A780" s="34" t="n">
        <x:v>46402</x:v>
      </x:c>
      <x:c r="B780" s="40" t="str">
        <x:v>Gestão e Governança de Tecnologia da Informação</x:v>
      </x:c>
      <x:c r="C780" s="40" t="str">
        <x:v>6 - COBIT 2019 - Domínios de Governança e Gestão V</x:v>
      </x:c>
      <x:c r="D780" s="40" t="str">
        <x:v>Videoaula</x:v>
      </x:c>
      <x:c r="E780" s="40" t="str">
        <x:v>Não iniciado</x:v>
      </x:c>
      <x:c r="F780" s="41" t="str"/>
      <x:c r="G780" s="42" t="str"/>
      <x:c r="H780" s="40" t="str">
        <x:v>Normal</x:v>
      </x:c>
      <x:c r="I780" s="40" t="str">
        <x:f>IF(E780="Concluído","Concluído",IF(A780&lt;TODAY(),"Atrasado",IF(A780=TODAY(),"Hoje","Futuro")))</x:f>
        <x:v>Futuro</x:v>
      </x:c>
      <x:c r="J780" s="43" t="n">
        <x:f>IF(OR(E780="Concluído",A780&gt;=TODAY()),0,TODAY()-A780)</x:f>
        <x:v>0</x:v>
      </x:c>
      <x:c r="K780" s="40" t="str"/>
    </x:row>
    <x:row r="781">
      <x:c r="A781" s="34" t="n">
        <x:v>46402</x:v>
      </x:c>
      <x:c r="B781" s="40" t="str">
        <x:v>Inteligência Emocional</x:v>
      </x:c>
      <x:c r="C781" s="40" t="str">
        <x:v>43 - ELO 43: A Autoconsciência e o Concurseiro</x:v>
      </x:c>
      <x:c r="D781" s="40" t="str">
        <x:v>Pdf</x:v>
      </x:c>
      <x:c r="E781" s="40" t="str">
        <x:v>Não iniciado</x:v>
      </x:c>
      <x:c r="F781" s="41" t="str"/>
      <x:c r="G781" s="42" t="str"/>
      <x:c r="H781" s="40" t="str">
        <x:v>Normal</x:v>
      </x:c>
      <x:c r="I781" s="40" t="str">
        <x:f>IF(E781="Concluído","Concluído",IF(A781&lt;TODAY(),"Atrasado",IF(A781=TODAY(),"Hoje","Futuro")))</x:f>
        <x:v>Futuro</x:v>
      </x:c>
      <x:c r="J781" s="43" t="n">
        <x:f>IF(OR(E781="Concluído",A781&gt;=TODAY()),0,TODAY()-A781)</x:f>
        <x:v>0</x:v>
      </x:c>
      <x:c r="K781" s="40" t="str"/>
    </x:row>
    <x:row r="782">
      <x:c r="A782" s="34" t="n">
        <x:v>46402</x:v>
      </x:c>
      <x:c r="B782" s="40" t="str">
        <x:v>Língua Portuguesa</x:v>
      </x:c>
      <x:c r="C782" s="40" t="str">
        <x:v>1 - Questões Ortográficas</x:v>
      </x:c>
      <x:c r="D782" s="40" t="str">
        <x:v>Videoaula</x:v>
      </x:c>
      <x:c r="E782" s="40" t="str">
        <x:v>Não iniciado</x:v>
      </x:c>
      <x:c r="F782" s="41" t="str"/>
      <x:c r="G782" s="42" t="str"/>
      <x:c r="H782" s="40" t="str">
        <x:v>Normal</x:v>
      </x:c>
      <x:c r="I782" s="40" t="str">
        <x:f>IF(E782="Concluído","Concluído",IF(A782&lt;TODAY(),"Atrasado",IF(A782=TODAY(),"Hoje","Futuro")))</x:f>
        <x:v>Futuro</x:v>
      </x:c>
      <x:c r="J782" s="43" t="n">
        <x:f>IF(OR(E782="Concluído",A782&gt;=TODAY()),0,TODAY()-A782)</x:f>
        <x:v>0</x:v>
      </x:c>
      <x:c r="K782" s="40" t="str"/>
    </x:row>
    <x:row r="783">
      <x:c r="A783" s="34" t="n">
        <x:v>46402</x:v>
      </x:c>
      <x:c r="B783" s="40" t="str">
        <x:v>Língua Portuguesa</x:v>
      </x:c>
      <x:c r="C783" s="40" t="str">
        <x:v>2 - Questões Ortográficas II</x:v>
      </x:c>
      <x:c r="D783" s="40" t="str">
        <x:v>Videoaula</x:v>
      </x:c>
      <x:c r="E783" s="40" t="str">
        <x:v>Não iniciado</x:v>
      </x:c>
      <x:c r="F783" s="41" t="str"/>
      <x:c r="G783" s="42" t="str"/>
      <x:c r="H783" s="40" t="str">
        <x:v>Normal</x:v>
      </x:c>
      <x:c r="I783" s="40" t="str">
        <x:f>IF(E783="Concluído","Concluído",IF(A783&lt;TODAY(),"Atrasado",IF(A783=TODAY(),"Hoje","Futuro")))</x:f>
        <x:v>Futuro</x:v>
      </x:c>
      <x:c r="J783" s="43" t="n">
        <x:f>IF(OR(E783="Concluído",A783&gt;=TODAY()),0,TODAY()-A783)</x:f>
        <x:v>0</x:v>
      </x:c>
      <x:c r="K783" s="40" t="str"/>
    </x:row>
    <x:row r="784">
      <x:c r="A784" s="34" t="n">
        <x:v>46403</x:v>
      </x:c>
      <x:c r="B784" s="40" t="str">
        <x:v>Língua Portuguesa</x:v>
      </x:c>
      <x:c r="C784" s="40" t="str">
        <x:v>2 - Questões Ortográficas II</x:v>
      </x:c>
      <x:c r="D784" s="40" t="str">
        <x:v>Videoaula</x:v>
      </x:c>
      <x:c r="E784" s="40" t="str">
        <x:v>Não iniciado</x:v>
      </x:c>
      <x:c r="F784" s="41" t="str"/>
      <x:c r="G784" s="42" t="str"/>
      <x:c r="H784" s="40" t="str">
        <x:v>Normal</x:v>
      </x:c>
      <x:c r="I784" s="40" t="str">
        <x:f>IF(E784="Concluído","Concluído",IF(A784&lt;TODAY(),"Atrasado",IF(A784=TODAY(),"Hoje","Futuro")))</x:f>
        <x:v>Futuro</x:v>
      </x:c>
      <x:c r="J784" s="43" t="n">
        <x:f>IF(OR(E784="Concluído",A784&gt;=TODAY()),0,TODAY()-A784)</x:f>
        <x:v>0</x:v>
      </x:c>
      <x:c r="K784" s="40" t="str"/>
    </x:row>
    <x:row r="785">
      <x:c r="A785" s="34" t="n">
        <x:v>46403</x:v>
      </x:c>
      <x:c r="B785" s="40" t="str">
        <x:v>Língua Inglesa</x:v>
      </x:c>
      <x:c r="C785" s="40" t="str">
        <x:v>37 - Pronomes Relativos</x:v>
      </x:c>
      <x:c r="D785" s="40" t="str">
        <x:v>Videoaula</x:v>
      </x:c>
      <x:c r="E785" s="40" t="str">
        <x:v>Não iniciado</x:v>
      </x:c>
      <x:c r="F785" s="41" t="str"/>
      <x:c r="G785" s="42" t="str"/>
      <x:c r="H785" s="40" t="str">
        <x:v>Normal</x:v>
      </x:c>
      <x:c r="I785" s="40" t="str">
        <x:f>IF(E785="Concluído","Concluído",IF(A785&lt;TODAY(),"Atrasado",IF(A785=TODAY(),"Hoje","Futuro")))</x:f>
        <x:v>Futuro</x:v>
      </x:c>
      <x:c r="J785" s="43" t="n">
        <x:f>IF(OR(E785="Concluído",A785&gt;=TODAY()),0,TODAY()-A785)</x:f>
        <x:v>0</x:v>
      </x:c>
      <x:c r="K785" s="40" t="str"/>
    </x:row>
    <x:row r="786">
      <x:c r="A786" s="34" t="n">
        <x:v>46403</x:v>
      </x:c>
      <x:c r="B786" s="40" t="str">
        <x:v>Língua Inglesa</x:v>
      </x:c>
      <x:c r="C786" s="40" t="str">
        <x:v>38 - Pronomes Relativos II</x:v>
      </x:c>
      <x:c r="D786" s="40" t="str">
        <x:v>Videoaula</x:v>
      </x:c>
      <x:c r="E786" s="40" t="str">
        <x:v>Não iniciado</x:v>
      </x:c>
      <x:c r="F786" s="41" t="str"/>
      <x:c r="G786" s="42" t="str"/>
      <x:c r="H786" s="40" t="str">
        <x:v>Normal</x:v>
      </x:c>
      <x:c r="I786" s="40" t="str">
        <x:f>IF(E786="Concluído","Concluído",IF(A786&lt;TODAY(),"Atrasado",IF(A786=TODAY(),"Hoje","Futuro")))</x:f>
        <x:v>Futuro</x:v>
      </x:c>
      <x:c r="J786" s="43" t="n">
        <x:f>IF(OR(E786="Concluído",A786&gt;=TODAY()),0,TODAY()-A786)</x:f>
        <x:v>0</x:v>
      </x:c>
      <x:c r="K786" s="40" t="str"/>
    </x:row>
    <x:row r="787">
      <x:c r="A787" s="34" t="n">
        <x:v>46403</x:v>
      </x:c>
      <x:c r="B787" s="40" t="str">
        <x:v>Atualidades e Inteligência Artificial</x:v>
      </x:c>
      <x:c r="C787" s="40" t="str">
        <x:v>55 - Visão Computacional</x:v>
      </x:c>
      <x:c r="D787" s="40" t="str">
        <x:v>Videoaula</x:v>
      </x:c>
      <x:c r="E787" s="40" t="str">
        <x:v>Não iniciado</x:v>
      </x:c>
      <x:c r="F787" s="41" t="str"/>
      <x:c r="G787" s="42" t="str"/>
      <x:c r="H787" s="40" t="str">
        <x:v>Normal</x:v>
      </x:c>
      <x:c r="I787" s="40" t="str">
        <x:f>IF(E787="Concluído","Concluído",IF(A787&lt;TODAY(),"Atrasado",IF(A787=TODAY(),"Hoje","Futuro")))</x:f>
        <x:v>Futuro</x:v>
      </x:c>
      <x:c r="J787" s="43" t="n">
        <x:f>IF(OR(E787="Concluído",A787&gt;=TODAY()),0,TODAY()-A787)</x:f>
        <x:v>0</x:v>
      </x:c>
      <x:c r="K787" s="40" t="str"/>
    </x:row>
    <x:row r="788">
      <x:c r="A788" s="34" t="n">
        <x:v>46403</x:v>
      </x:c>
      <x:c r="B788" s="40" t="str">
        <x:v>Atualidades e Inteligência Artificial</x:v>
      </x:c>
      <x:c r="C788" s="40" t="str">
        <x:v>56 - Visão Computacional II</x:v>
      </x:c>
      <x:c r="D788" s="40" t="str">
        <x:v>Videoaula</x:v>
      </x:c>
      <x:c r="E788" s="40" t="str">
        <x:v>Não iniciado</x:v>
      </x:c>
      <x:c r="F788" s="41" t="str"/>
      <x:c r="G788" s="42" t="str"/>
      <x:c r="H788" s="40" t="str">
        <x:v>Normal</x:v>
      </x:c>
      <x:c r="I788" s="40" t="str">
        <x:f>IF(E788="Concluído","Concluído",IF(A788&lt;TODAY(),"Atrasado",IF(A788=TODAY(),"Hoje","Futuro")))</x:f>
        <x:v>Futuro</x:v>
      </x:c>
      <x:c r="J788" s="43" t="n">
        <x:f>IF(OR(E788="Concluído",A788&gt;=TODAY()),0,TODAY()-A788)</x:f>
        <x:v>0</x:v>
      </x:c>
      <x:c r="K788" s="40" t="str"/>
    </x:row>
    <x:row r="789">
      <x:c r="A789" s="34" t="n">
        <x:v>46404</x:v>
      </x:c>
      <x:c r="B789" s="40" t="str">
        <x:v>Atualidades e Inteligência Artificial</x:v>
      </x:c>
      <x:c r="C789" s="40" t="str">
        <x:v>56 - Visão Computacional II</x:v>
      </x:c>
      <x:c r="D789" s="40" t="str">
        <x:v>Videoaula</x:v>
      </x:c>
      <x:c r="E789" s="40" t="str">
        <x:v>Não iniciado</x:v>
      </x:c>
      <x:c r="F789" s="41" t="str"/>
      <x:c r="G789" s="42" t="str"/>
      <x:c r="H789" s="40" t="str">
        <x:v>Normal</x:v>
      </x:c>
      <x:c r="I789" s="40" t="str">
        <x:f>IF(E789="Concluído","Concluído",IF(A789&lt;TODAY(),"Atrasado",IF(A789=TODAY(),"Hoje","Futuro")))</x:f>
        <x:v>Futuro</x:v>
      </x:c>
      <x:c r="J789" s="43" t="n">
        <x:f>IF(OR(E789="Concluído",A789&gt;=TODAY()),0,TODAY()-A789)</x:f>
        <x:v>0</x:v>
      </x:c>
      <x:c r="K789" s="40" t="str"/>
    </x:row>
    <x:row r="790">
      <x:c r="A790" s="34" t="n">
        <x:v>46404</x:v>
      </x:c>
      <x:c r="B790" s="40" t="str">
        <x:v>Gestão e Governança de Tecnologia da Informação</x:v>
      </x:c>
      <x:c r="C790" s="40" t="str">
        <x:v>7 - COBIT 2019 - Princípios</x:v>
      </x:c>
      <x:c r="D790" s="40" t="str">
        <x:v>Videoaula</x:v>
      </x:c>
      <x:c r="E790" s="40" t="str">
        <x:v>Não iniciado</x:v>
      </x:c>
      <x:c r="F790" s="41" t="str"/>
      <x:c r="G790" s="42" t="str"/>
      <x:c r="H790" s="40" t="str">
        <x:v>Normal</x:v>
      </x:c>
      <x:c r="I790" s="40" t="str">
        <x:f>IF(E790="Concluído","Concluído",IF(A790&lt;TODAY(),"Atrasado",IF(A790=TODAY(),"Hoje","Futuro")))</x:f>
        <x:v>Futuro</x:v>
      </x:c>
      <x:c r="J790" s="43" t="n">
        <x:f>IF(OR(E790="Concluído",A790&gt;=TODAY()),0,TODAY()-A790)</x:f>
        <x:v>0</x:v>
      </x:c>
      <x:c r="K790" s="40" t="str"/>
    </x:row>
    <x:row r="791">
      <x:c r="A791" s="34" t="n">
        <x:v>46404</x:v>
      </x:c>
      <x:c r="B791" s="40" t="str">
        <x:v>Gestão e Governança de Tecnologia da Informação</x:v>
      </x:c>
      <x:c r="C791" s="40" t="str">
        <x:v>8 - COBIT 2019 - Princípios II</x:v>
      </x:c>
      <x:c r="D791" s="40" t="str">
        <x:v>Videoaula</x:v>
      </x:c>
      <x:c r="E791" s="40" t="str">
        <x:v>Não iniciado</x:v>
      </x:c>
      <x:c r="F791" s="41" t="str"/>
      <x:c r="G791" s="42" t="str"/>
      <x:c r="H791" s="40" t="str">
        <x:v>Normal</x:v>
      </x:c>
      <x:c r="I791" s="40" t="str">
        <x:f>IF(E791="Concluído","Concluído",IF(A791&lt;TODAY(),"Atrasado",IF(A791=TODAY(),"Hoje","Futuro")))</x:f>
        <x:v>Futuro</x:v>
      </x:c>
      <x:c r="J791" s="43" t="n">
        <x:f>IF(OR(E791="Concluído",A791&gt;=TODAY()),0,TODAY()-A791)</x:f>
        <x:v>0</x:v>
      </x:c>
      <x:c r="K791" s="40" t="str"/>
    </x:row>
    <x:row r="792">
      <x:c r="A792" s="34" t="n">
        <x:v>46404</x:v>
      </x:c>
      <x:c r="B792" s="40" t="str">
        <x:v>Inteligência Emocional</x:v>
      </x:c>
      <x:c r="C792" s="40" t="str">
        <x:v>44 - ELO 44: A Autorresponsabilidade e o Estudo para Concursos</x:v>
      </x:c>
      <x:c r="D792" s="40" t="str">
        <x:v>Pdf</x:v>
      </x:c>
      <x:c r="E792" s="40" t="str">
        <x:v>Não iniciado</x:v>
      </x:c>
      <x:c r="F792" s="41" t="str"/>
      <x:c r="G792" s="42" t="str"/>
      <x:c r="H792" s="40" t="str">
        <x:v>Normal</x:v>
      </x:c>
      <x:c r="I792" s="40" t="str">
        <x:f>IF(E792="Concluído","Concluído",IF(A792&lt;TODAY(),"Atrasado",IF(A792=TODAY(),"Hoje","Futuro")))</x:f>
        <x:v>Futuro</x:v>
      </x:c>
      <x:c r="J792" s="43" t="n">
        <x:f>IF(OR(E792="Concluído",A792&gt;=TODAY()),0,TODAY()-A792)</x:f>
        <x:v>0</x:v>
      </x:c>
      <x:c r="K792" s="40" t="str"/>
    </x:row>
    <x:row r="793">
      <x:c r="A793" s="34" t="n">
        <x:v>46404</x:v>
      </x:c>
      <x:c r="B793" s="40" t="str">
        <x:v>Revisão</x:v>
      </x:c>
      <x:c r="C793" s="40" t="str">
        <x:v>Revisão</x:v>
      </x:c>
      <x:c r="D793" s="40" t="str">
        <x:v>Revisao</x:v>
      </x:c>
      <x:c r="E793" s="40" t="str">
        <x:v>Não iniciado</x:v>
      </x:c>
      <x:c r="F793" s="41" t="str"/>
      <x:c r="G793" s="42" t="str"/>
      <x:c r="H793" s="40" t="str">
        <x:v>Normal</x:v>
      </x:c>
      <x:c r="I793" s="40" t="str">
        <x:f>IF(E793="Concluído","Concluído",IF(A793&lt;TODAY(),"Atrasado",IF(A793=TODAY(),"Hoje","Futuro")))</x:f>
        <x:v>Futuro</x:v>
      </x:c>
      <x:c r="J793" s="43" t="n">
        <x:f>IF(OR(E793="Concluído",A793&gt;=TODAY()),0,TODAY()-A793)</x:f>
        <x:v>0</x:v>
      </x:c>
      <x:c r="K793" s="40" t="str"/>
    </x:row>
    <x:row r="794">
      <x:c r="A794" s="34" t="n">
        <x:v>46405</x:v>
      </x:c>
      <x:c r="B794" s="40" t="str">
        <x:v>Inteligência Emocional</x:v>
      </x:c>
      <x:c r="C794" s="40" t="str">
        <x:v>44 - ELO 44: A Autorresponsabilidade e o Estudo para Concursos</x:v>
      </x:c>
      <x:c r="D794" s="40" t="str">
        <x:v>Pdf</x:v>
      </x:c>
      <x:c r="E794" s="40" t="str">
        <x:v>Não iniciado</x:v>
      </x:c>
      <x:c r="F794" s="41" t="str"/>
      <x:c r="G794" s="42" t="str"/>
      <x:c r="H794" s="40" t="str">
        <x:v>Normal</x:v>
      </x:c>
      <x:c r="I794" s="40" t="str">
        <x:f>IF(E794="Concluído","Concluído",IF(A794&lt;TODAY(),"Atrasado",IF(A794=TODAY(),"Hoje","Futuro")))</x:f>
        <x:v>Futuro</x:v>
      </x:c>
      <x:c r="J794" s="43" t="n">
        <x:f>IF(OR(E794="Concluído",A794&gt;=TODAY()),0,TODAY()-A794)</x:f>
        <x:v>0</x:v>
      </x:c>
      <x:c r="K794" s="40" t="str"/>
    </x:row>
    <x:row r="795">
      <x:c r="A795" s="34" t="n">
        <x:v>46405</x:v>
      </x:c>
      <x:c r="B795" s="40" t="str">
        <x:v>Língua Portuguesa</x:v>
      </x:c>
      <x:c r="C795" s="40" t="str">
        <x:v>3 - Questões Ortográficas III</x:v>
      </x:c>
      <x:c r="D795" s="40" t="str">
        <x:v>Videoaula</x:v>
      </x:c>
      <x:c r="E795" s="40" t="str">
        <x:v>Não iniciado</x:v>
      </x:c>
      <x:c r="F795" s="41" t="str"/>
      <x:c r="G795" s="42" t="str"/>
      <x:c r="H795" s="40" t="str">
        <x:v>Normal</x:v>
      </x:c>
      <x:c r="I795" s="40" t="str">
        <x:f>IF(E795="Concluído","Concluído",IF(A795&lt;TODAY(),"Atrasado",IF(A795=TODAY(),"Hoje","Futuro")))</x:f>
        <x:v>Futuro</x:v>
      </x:c>
      <x:c r="J795" s="43" t="n">
        <x:f>IF(OR(E795="Concluído",A795&gt;=TODAY()),0,TODAY()-A795)</x:f>
        <x:v>0</x:v>
      </x:c>
      <x:c r="K795" s="40" t="str"/>
    </x:row>
    <x:row r="796">
      <x:c r="A796" s="34" t="n">
        <x:v>46405</x:v>
      </x:c>
      <x:c r="B796" s="40" t="str">
        <x:v>Língua Portuguesa</x:v>
      </x:c>
      <x:c r="C796" s="40" t="str">
        <x:v>1 - Colocação Pronominal</x:v>
      </x:c>
      <x:c r="D796" s="40" t="str">
        <x:v>Videoaula</x:v>
      </x:c>
      <x:c r="E796" s="40" t="str">
        <x:v>Não iniciado</x:v>
      </x:c>
      <x:c r="F796" s="41" t="str"/>
      <x:c r="G796" s="42" t="str"/>
      <x:c r="H796" s="40" t="str">
        <x:v>Normal</x:v>
      </x:c>
      <x:c r="I796" s="40" t="str">
        <x:f>IF(E796="Concluído","Concluído",IF(A796&lt;TODAY(),"Atrasado",IF(A796=TODAY(),"Hoje","Futuro")))</x:f>
        <x:v>Futuro</x:v>
      </x:c>
      <x:c r="J796" s="43" t="n">
        <x:f>IF(OR(E796="Concluído",A796&gt;=TODAY()),0,TODAY()-A796)</x:f>
        <x:v>0</x:v>
      </x:c>
      <x:c r="K796" s="40" t="str"/>
    </x:row>
    <x:row r="797">
      <x:c r="A797" s="34" t="n">
        <x:v>46405</x:v>
      </x:c>
      <x:c r="B797" s="40" t="str">
        <x:v>Língua Inglesa</x:v>
      </x:c>
      <x:c r="C797" s="40" t="str">
        <x:v>39 - Question Tag</x:v>
      </x:c>
      <x:c r="D797" s="40" t="str">
        <x:v>Videoaula</x:v>
      </x:c>
      <x:c r="E797" s="40" t="str">
        <x:v>Não iniciado</x:v>
      </x:c>
      <x:c r="F797" s="41" t="str"/>
      <x:c r="G797" s="42" t="str"/>
      <x:c r="H797" s="40" t="str">
        <x:v>Normal</x:v>
      </x:c>
      <x:c r="I797" s="40" t="str">
        <x:f>IF(E797="Concluído","Concluído",IF(A797&lt;TODAY(),"Atrasado",IF(A797=TODAY(),"Hoje","Futuro")))</x:f>
        <x:v>Futuro</x:v>
      </x:c>
      <x:c r="J797" s="43" t="n">
        <x:f>IF(OR(E797="Concluído",A797&gt;=TODAY()),0,TODAY()-A797)</x:f>
        <x:v>0</x:v>
      </x:c>
      <x:c r="K797" s="40" t="str"/>
    </x:row>
    <x:row r="798">
      <x:c r="A798" s="34" t="n">
        <x:v>46406</x:v>
      </x:c>
      <x:c r="B798" s="40" t="str">
        <x:v>Língua Inglesa</x:v>
      </x:c>
      <x:c r="C798" s="40" t="str">
        <x:v>40 - Past Perfect - Continuous</x:v>
      </x:c>
      <x:c r="D798" s="40" t="str">
        <x:v>Videoaula</x:v>
      </x:c>
      <x:c r="E798" s="40" t="str">
        <x:v>Não iniciado</x:v>
      </x:c>
      <x:c r="F798" s="41" t="str"/>
      <x:c r="G798" s="42" t="str"/>
      <x:c r="H798" s="40" t="str">
        <x:v>Normal</x:v>
      </x:c>
      <x:c r="I798" s="40" t="str">
        <x:f>IF(E798="Concluído","Concluído",IF(A798&lt;TODAY(),"Atrasado",IF(A798=TODAY(),"Hoje","Futuro")))</x:f>
        <x:v>Futuro</x:v>
      </x:c>
      <x:c r="J798" s="43" t="n">
        <x:f>IF(OR(E798="Concluído",A798&gt;=TODAY()),0,TODAY()-A798)</x:f>
        <x:v>0</x:v>
      </x:c>
      <x:c r="K798" s="40" t="str"/>
    </x:row>
    <x:row r="799">
      <x:c r="A799" s="34" t="n">
        <x:v>46406</x:v>
      </x:c>
      <x:c r="B799" s="40" t="str">
        <x:v>Gestão e Governança de Tecnologia da Informação</x:v>
      </x:c>
      <x:c r="C799" s="40" t="str">
        <x:v>9 - COBIT 2019 - Área de foco e fatores de desenho</x:v>
      </x:c>
      <x:c r="D799" s="40" t="str">
        <x:v>Videoaula</x:v>
      </x:c>
      <x:c r="E799" s="40" t="str">
        <x:v>Não iniciado</x:v>
      </x:c>
      <x:c r="F799" s="41" t="str"/>
      <x:c r="G799" s="42" t="str"/>
      <x:c r="H799" s="40" t="str">
        <x:v>Normal</x:v>
      </x:c>
      <x:c r="I799" s="40" t="str">
        <x:f>IF(E799="Concluído","Concluído",IF(A799&lt;TODAY(),"Atrasado",IF(A799=TODAY(),"Hoje","Futuro")))</x:f>
        <x:v>Futuro</x:v>
      </x:c>
      <x:c r="J799" s="43" t="n">
        <x:f>IF(OR(E799="Concluído",A799&gt;=TODAY()),0,TODAY()-A799)</x:f>
        <x:v>0</x:v>
      </x:c>
      <x:c r="K799" s="40" t="str"/>
    </x:row>
    <x:row r="800">
      <x:c r="A800" s="34" t="n">
        <x:v>46406</x:v>
      </x:c>
      <x:c r="B800" s="40" t="str">
        <x:v>Gestão e Governança de Tecnologia da Informação</x:v>
      </x:c>
      <x:c r="C800" s="40" t="str">
        <x:v>10 - COBIT 2019 - Abordagem de implementação e modelo capacidade</x:v>
      </x:c>
      <x:c r="D800" s="40" t="str">
        <x:v>Videoaula</x:v>
      </x:c>
      <x:c r="E800" s="40" t="str">
        <x:v>Não iniciado</x:v>
      </x:c>
      <x:c r="F800" s="41" t="str"/>
      <x:c r="G800" s="42" t="str"/>
      <x:c r="H800" s="40" t="str">
        <x:v>Normal</x:v>
      </x:c>
      <x:c r="I800" s="40" t="str">
        <x:f>IF(E800="Concluído","Concluído",IF(A800&lt;TODAY(),"Atrasado",IF(A800=TODAY(),"Hoje","Futuro")))</x:f>
        <x:v>Futuro</x:v>
      </x:c>
      <x:c r="J800" s="43" t="n">
        <x:f>IF(OR(E800="Concluído",A800&gt;=TODAY()),0,TODAY()-A800)</x:f>
        <x:v>0</x:v>
      </x:c>
      <x:c r="K800" s="40" t="str"/>
    </x:row>
    <x:row r="801">
      <x:c r="A801" s="34" t="n">
        <x:v>46406</x:v>
      </x:c>
      <x:c r="B801" s="40" t="str">
        <x:v>Inteligência Emocional</x:v>
      </x:c>
      <x:c r="C801" s="40" t="str">
        <x:v>45 - ELO 45: A Vida Intencional e o Concurseiro</x:v>
      </x:c>
      <x:c r="D801" s="40" t="str">
        <x:v>Pdf</x:v>
      </x:c>
      <x:c r="E801" s="40" t="str">
        <x:v>Não iniciado</x:v>
      </x:c>
      <x:c r="F801" s="41" t="str"/>
      <x:c r="G801" s="42" t="str"/>
      <x:c r="H801" s="40" t="str">
        <x:v>Normal</x:v>
      </x:c>
      <x:c r="I801" s="40" t="str">
        <x:f>IF(E801="Concluído","Concluído",IF(A801&lt;TODAY(),"Atrasado",IF(A801=TODAY(),"Hoje","Futuro")))</x:f>
        <x:v>Futuro</x:v>
      </x:c>
      <x:c r="J801" s="43" t="n">
        <x:f>IF(OR(E801="Concluído",A801&gt;=TODAY()),0,TODAY()-A801)</x:f>
        <x:v>0</x:v>
      </x:c>
      <x:c r="K801" s="40" t="str"/>
    </x:row>
    <x:row r="802">
      <x:c r="A802" s="34" t="n">
        <x:v>46407</x:v>
      </x:c>
      <x:c r="B802" s="40" t="str">
        <x:v>Inteligência Emocional</x:v>
      </x:c>
      <x:c r="C802" s="40" t="str">
        <x:v>45 - ELO 45: A Vida Intencional e o Concurseiro</x:v>
      </x:c>
      <x:c r="D802" s="40" t="str">
        <x:v>Pdf</x:v>
      </x:c>
      <x:c r="E802" s="40" t="str">
        <x:v>Não iniciado</x:v>
      </x:c>
      <x:c r="F802" s="41" t="str"/>
      <x:c r="G802" s="42" t="str"/>
      <x:c r="H802" s="40" t="str">
        <x:v>Normal</x:v>
      </x:c>
      <x:c r="I802" s="40" t="str">
        <x:f>IF(E802="Concluído","Concluído",IF(A802&lt;TODAY(),"Atrasado",IF(A802=TODAY(),"Hoje","Futuro")))</x:f>
        <x:v>Futuro</x:v>
      </x:c>
      <x:c r="J802" s="43" t="n">
        <x:f>IF(OR(E802="Concluído",A802&gt;=TODAY()),0,TODAY()-A802)</x:f>
        <x:v>0</x:v>
      </x:c>
      <x:c r="K802" s="40" t="str"/>
    </x:row>
    <x:row r="803">
      <x:c r="A803" s="34" t="n">
        <x:v>46407</x:v>
      </x:c>
      <x:c r="B803" s="40" t="str">
        <x:v>Língua Portuguesa</x:v>
      </x:c>
      <x:c r="C803" s="40" t="str">
        <x:v>2 - Colocação Pronominal II</x:v>
      </x:c>
      <x:c r="D803" s="40" t="str">
        <x:v>Videoaula</x:v>
      </x:c>
      <x:c r="E803" s="40" t="str">
        <x:v>Não iniciado</x:v>
      </x:c>
      <x:c r="F803" s="41" t="str"/>
      <x:c r="G803" s="42" t="str"/>
      <x:c r="H803" s="40" t="str">
        <x:v>Normal</x:v>
      </x:c>
      <x:c r="I803" s="40" t="str">
        <x:f>IF(E803="Concluído","Concluído",IF(A803&lt;TODAY(),"Atrasado",IF(A803=TODAY(),"Hoje","Futuro")))</x:f>
        <x:v>Futuro</x:v>
      </x:c>
      <x:c r="J803" s="43" t="n">
        <x:f>IF(OR(E803="Concluído",A803&gt;=TODAY()),0,TODAY()-A803)</x:f>
        <x:v>0</x:v>
      </x:c>
      <x:c r="K803" s="40" t="str"/>
    </x:row>
    <x:row r="804">
      <x:c r="A804" s="34" t="n">
        <x:v>46407</x:v>
      </x:c>
      <x:c r="B804" s="40" t="str">
        <x:v>Língua Inglesa</x:v>
      </x:c>
      <x:c r="C804" s="40" t="str">
        <x:v>41 - Discurso Direto X Indireto</x:v>
      </x:c>
      <x:c r="D804" s="40" t="str">
        <x:v>Videoaula</x:v>
      </x:c>
      <x:c r="E804" s="40" t="str">
        <x:v>Não iniciado</x:v>
      </x:c>
      <x:c r="F804" s="41" t="str"/>
      <x:c r="G804" s="42" t="str"/>
      <x:c r="H804" s="40" t="str">
        <x:v>Normal</x:v>
      </x:c>
      <x:c r="I804" s="40" t="str">
        <x:f>IF(E804="Concluído","Concluído",IF(A804&lt;TODAY(),"Atrasado",IF(A804=TODAY(),"Hoje","Futuro")))</x:f>
        <x:v>Futuro</x:v>
      </x:c>
      <x:c r="J804" s="43" t="n">
        <x:f>IF(OR(E804="Concluído",A804&gt;=TODAY()),0,TODAY()-A804)</x:f>
        <x:v>0</x:v>
      </x:c>
      <x:c r="K804" s="40" t="str"/>
    </x:row>
    <x:row r="805">
      <x:c r="A805" s="34" t="n">
        <x:v>46407</x:v>
      </x:c>
      <x:c r="B805" s="40" t="str">
        <x:v>Língua Inglesa</x:v>
      </x:c>
      <x:c r="C805" s="40" t="str">
        <x:v>42 - Voz Passiva (Obj. Direto)</x:v>
      </x:c>
      <x:c r="D805" s="40" t="str">
        <x:v>Videoaula</x:v>
      </x:c>
      <x:c r="E805" s="40" t="str">
        <x:v>Não iniciado</x:v>
      </x:c>
      <x:c r="F805" s="41" t="str"/>
      <x:c r="G805" s="42" t="str"/>
      <x:c r="H805" s="40" t="str">
        <x:v>Normal</x:v>
      </x:c>
      <x:c r="I805" s="40" t="str">
        <x:f>IF(E805="Concluído","Concluído",IF(A805&lt;TODAY(),"Atrasado",IF(A805=TODAY(),"Hoje","Futuro")))</x:f>
        <x:v>Futuro</x:v>
      </x:c>
      <x:c r="J805" s="43" t="n">
        <x:f>IF(OR(E805="Concluído",A805&gt;=TODAY()),0,TODAY()-A805)</x:f>
        <x:v>0</x:v>
      </x:c>
      <x:c r="K805" s="40" t="str"/>
    </x:row>
    <x:row r="806">
      <x:c r="A806" s="34" t="n">
        <x:v>46408</x:v>
      </x:c>
      <x:c r="B806" s="40" t="str">
        <x:v>Língua Inglesa</x:v>
      </x:c>
      <x:c r="C806" s="40" t="str">
        <x:v>42 - Voz Passiva (Obj. Direto)</x:v>
      </x:c>
      <x:c r="D806" s="40" t="str">
        <x:v>Videoaula</x:v>
      </x:c>
      <x:c r="E806" s="40" t="str">
        <x:v>Não iniciado</x:v>
      </x:c>
      <x:c r="F806" s="41" t="str"/>
      <x:c r="G806" s="42" t="str"/>
      <x:c r="H806" s="40" t="str">
        <x:v>Normal</x:v>
      </x:c>
      <x:c r="I806" s="40" t="str">
        <x:f>IF(E806="Concluído","Concluído",IF(A806&lt;TODAY(),"Atrasado",IF(A806=TODAY(),"Hoje","Futuro")))</x:f>
        <x:v>Futuro</x:v>
      </x:c>
      <x:c r="J806" s="43" t="n">
        <x:f>IF(OR(E806="Concluído",A806&gt;=TODAY()),0,TODAY()-A806)</x:f>
        <x:v>0</x:v>
      </x:c>
      <x:c r="K806" s="40" t="str"/>
    </x:row>
    <x:row r="807">
      <x:c r="A807" s="34" t="n">
        <x:v>46408</x:v>
      </x:c>
      <x:c r="B807" s="40" t="str">
        <x:v>Gestão e Governança de Tecnologia da Informação</x:v>
      </x:c>
      <x:c r="C807" s="40" t="str">
        <x:v>11 - COBIT 2019 - Modelo de maturidade, estágios e etapas para o design de um processo customizado</x:v>
      </x:c>
      <x:c r="D807" s="40" t="str">
        <x:v>Videoaula</x:v>
      </x:c>
      <x:c r="E807" s="40" t="str">
        <x:v>Não iniciado</x:v>
      </x:c>
      <x:c r="F807" s="41" t="str"/>
      <x:c r="G807" s="42" t="str"/>
      <x:c r="H807" s="40" t="str">
        <x:v>Normal</x:v>
      </x:c>
      <x:c r="I807" s="40" t="str">
        <x:f>IF(E807="Concluído","Concluído",IF(A807&lt;TODAY(),"Atrasado",IF(A807=TODAY(),"Hoje","Futuro")))</x:f>
        <x:v>Futuro</x:v>
      </x:c>
      <x:c r="J807" s="43" t="n">
        <x:f>IF(OR(E807="Concluído",A807&gt;=TODAY()),0,TODAY()-A807)</x:f>
        <x:v>0</x:v>
      </x:c>
      <x:c r="K807" s="40" t="str"/>
    </x:row>
    <x:row r="808">
      <x:c r="A808" s="34" t="n">
        <x:v>46408</x:v>
      </x:c>
      <x:c r="B808" s="40" t="str">
        <x:v>Gestão e Governança de Tecnologia da Informação</x:v>
      </x:c>
      <x:c r="C808" s="40" t="str">
        <x:v>12 - COBIT 2019 - Cascata de Objetivos</x:v>
      </x:c>
      <x:c r="D808" s="40" t="str">
        <x:v>Videoaula</x:v>
      </x:c>
      <x:c r="E808" s="40" t="str">
        <x:v>Não iniciado</x:v>
      </x:c>
      <x:c r="F808" s="41" t="str"/>
      <x:c r="G808" s="42" t="str"/>
      <x:c r="H808" s="40" t="str">
        <x:v>Normal</x:v>
      </x:c>
      <x:c r="I808" s="40" t="str">
        <x:f>IF(E808="Concluído","Concluído",IF(A808&lt;TODAY(),"Atrasado",IF(A808=TODAY(),"Hoje","Futuro")))</x:f>
        <x:v>Futuro</x:v>
      </x:c>
      <x:c r="J808" s="43" t="n">
        <x:f>IF(OR(E808="Concluído",A808&gt;=TODAY()),0,TODAY()-A808)</x:f>
        <x:v>0</x:v>
      </x:c>
      <x:c r="K808" s="40" t="str"/>
    </x:row>
    <x:row r="809">
      <x:c r="A809" s="34" t="n">
        <x:v>46408</x:v>
      </x:c>
      <x:c r="B809" s="40" t="str">
        <x:v>Inteligência Emocional</x:v>
      </x:c>
      <x:c r="C809" s="40" t="str">
        <x:v>46 - ELO 46: Positividade Tóxica e os Concurseiros</x:v>
      </x:c>
      <x:c r="D809" s="40" t="str">
        <x:v>Pdf</x:v>
      </x:c>
      <x:c r="E809" s="40" t="str">
        <x:v>Não iniciado</x:v>
      </x:c>
      <x:c r="F809" s="41" t="str"/>
      <x:c r="G809" s="42" t="str"/>
      <x:c r="H809" s="40" t="str">
        <x:v>Normal</x:v>
      </x:c>
      <x:c r="I809" s="40" t="str">
        <x:f>IF(E809="Concluído","Concluído",IF(A809&lt;TODAY(),"Atrasado",IF(A809=TODAY(),"Hoje","Futuro")))</x:f>
        <x:v>Futuro</x:v>
      </x:c>
      <x:c r="J809" s="43" t="n">
        <x:f>IF(OR(E809="Concluído",A809&gt;=TODAY()),0,TODAY()-A809)</x:f>
        <x:v>0</x:v>
      </x:c>
      <x:c r="K809" s="40" t="str"/>
    </x:row>
    <x:row r="810">
      <x:c r="A810" s="34" t="n">
        <x:v>46409</x:v>
      </x:c>
      <x:c r="B810" s="40" t="str">
        <x:v>Inteligência Emocional</x:v>
      </x:c>
      <x:c r="C810" s="40" t="str">
        <x:v>46 - ELO 46: Positividade Tóxica e os Concurseiros</x:v>
      </x:c>
      <x:c r="D810" s="40" t="str">
        <x:v>Pdf</x:v>
      </x:c>
      <x:c r="E810" s="40" t="str">
        <x:v>Não iniciado</x:v>
      </x:c>
      <x:c r="F810" s="41" t="str"/>
      <x:c r="G810" s="42" t="str"/>
      <x:c r="H810" s="40" t="str">
        <x:v>Normal</x:v>
      </x:c>
      <x:c r="I810" s="40" t="str">
        <x:f>IF(E810="Concluído","Concluído",IF(A810&lt;TODAY(),"Atrasado",IF(A810=TODAY(),"Hoje","Futuro")))</x:f>
        <x:v>Futuro</x:v>
      </x:c>
      <x:c r="J810" s="43" t="n">
        <x:f>IF(OR(E810="Concluído",A810&gt;=TODAY()),0,TODAY()-A810)</x:f>
        <x:v>0</x:v>
      </x:c>
      <x:c r="K810" s="40" t="str"/>
    </x:row>
    <x:row r="811">
      <x:c r="A811" s="34" t="n">
        <x:v>46409</x:v>
      </x:c>
      <x:c r="B811" s="40" t="str">
        <x:v>Língua Inglesa</x:v>
      </x:c>
      <x:c r="C811" s="40" t="str">
        <x:v>43 - Voz Passiva (Obj. Indireto)</x:v>
      </x:c>
      <x:c r="D811" s="40" t="str">
        <x:v>Videoaula</x:v>
      </x:c>
      <x:c r="E811" s="40" t="str">
        <x:v>Não iniciado</x:v>
      </x:c>
      <x:c r="F811" s="41" t="str"/>
      <x:c r="G811" s="42" t="str"/>
      <x:c r="H811" s="40" t="str">
        <x:v>Normal</x:v>
      </x:c>
      <x:c r="I811" s="40" t="str">
        <x:f>IF(E811="Concluído","Concluído",IF(A811&lt;TODAY(),"Atrasado",IF(A811=TODAY(),"Hoje","Futuro")))</x:f>
        <x:v>Futuro</x:v>
      </x:c>
      <x:c r="J811" s="43" t="n">
        <x:f>IF(OR(E811="Concluído",A811&gt;=TODAY()),0,TODAY()-A811)</x:f>
        <x:v>0</x:v>
      </x:c>
      <x:c r="K811" s="40" t="str"/>
    </x:row>
    <x:row r="812">
      <x:c r="A812" s="34" t="n">
        <x:v>46409</x:v>
      </x:c>
      <x:c r="B812" s="40" t="str">
        <x:v>Língua Inglesa</x:v>
      </x:c>
      <x:c r="C812" s="40" t="str">
        <x:v>44 - Voz Passiva - Exercícios</x:v>
      </x:c>
      <x:c r="D812" s="40" t="str">
        <x:v>Videoaula</x:v>
      </x:c>
      <x:c r="E812" s="40" t="str">
        <x:v>Não iniciado</x:v>
      </x:c>
      <x:c r="F812" s="41" t="str"/>
      <x:c r="G812" s="42" t="str"/>
      <x:c r="H812" s="40" t="str">
        <x:v>Normal</x:v>
      </x:c>
      <x:c r="I812" s="40" t="str">
        <x:f>IF(E812="Concluído","Concluído",IF(A812&lt;TODAY(),"Atrasado",IF(A812=TODAY(),"Hoje","Futuro")))</x:f>
        <x:v>Futuro</x:v>
      </x:c>
      <x:c r="J812" s="43" t="n">
        <x:f>IF(OR(E812="Concluído",A812&gt;=TODAY()),0,TODAY()-A812)</x:f>
        <x:v>0</x:v>
      </x:c>
      <x:c r="K812" s="40" t="str"/>
    </x:row>
    <x:row r="813">
      <x:c r="A813" s="34" t="n">
        <x:v>46409</x:v>
      </x:c>
      <x:c r="B813" s="40" t="str">
        <x:v>Gestão e Governança de Tecnologia da Informação</x:v>
      </x:c>
      <x:c r="C813" s="40" t="str">
        <x:v>13 - COBIT 2019 - Objetivos de Governança</x:v>
      </x:c>
      <x:c r="D813" s="40" t="str">
        <x:v>Videoaula</x:v>
      </x:c>
      <x:c r="E813" s="40" t="str">
        <x:v>Não iniciado</x:v>
      </x:c>
      <x:c r="F813" s="41" t="str"/>
      <x:c r="G813" s="42" t="str"/>
      <x:c r="H813" s="40" t="str">
        <x:v>Normal</x:v>
      </x:c>
      <x:c r="I813" s="40" t="str">
        <x:f>IF(E813="Concluído","Concluído",IF(A813&lt;TODAY(),"Atrasado",IF(A813=TODAY(),"Hoje","Futuro")))</x:f>
        <x:v>Futuro</x:v>
      </x:c>
      <x:c r="J813" s="43" t="n">
        <x:f>IF(OR(E813="Concluído",A813&gt;=TODAY()),0,TODAY()-A813)</x:f>
        <x:v>0</x:v>
      </x:c>
      <x:c r="K813" s="40" t="str"/>
    </x:row>
    <x:row r="814">
      <x:c r="A814" s="34" t="n">
        <x:v>46409</x:v>
      </x:c>
      <x:c r="B814" s="40" t="str">
        <x:v>Gestão e Governança de Tecnologia da Informação</x:v>
      </x:c>
      <x:c r="C814" s="40" t="str">
        <x:v>14 - COBIT 2019 - Objetivos de Gerenciamento</x:v>
      </x:c>
      <x:c r="D814" s="40" t="str">
        <x:v>Videoaula</x:v>
      </x:c>
      <x:c r="E814" s="40" t="str">
        <x:v>Não iniciado</x:v>
      </x:c>
      <x:c r="F814" s="41" t="str"/>
      <x:c r="G814" s="42" t="str"/>
      <x:c r="H814" s="40" t="str">
        <x:v>Normal</x:v>
      </x:c>
      <x:c r="I814" s="40" t="str">
        <x:f>IF(E814="Concluído","Concluído",IF(A814&lt;TODAY(),"Atrasado",IF(A814=TODAY(),"Hoje","Futuro")))</x:f>
        <x:v>Futuro</x:v>
      </x:c>
      <x:c r="J814" s="43" t="n">
        <x:f>IF(OR(E814="Concluído",A814&gt;=TODAY()),0,TODAY()-A814)</x:f>
        <x:v>0</x:v>
      </x:c>
      <x:c r="K814" s="40" t="str"/>
    </x:row>
    <x:row r="815">
      <x:c r="A815" s="34" t="n">
        <x:v>46410</x:v>
      </x:c>
      <x:c r="B815" s="40" t="str">
        <x:v>Gestão e Governança de Tecnologia da Informação</x:v>
      </x:c>
      <x:c r="C815" s="40" t="str">
        <x:v>14 - COBIT 2019 - Objetivos de Gerenciamento</x:v>
      </x:c>
      <x:c r="D815" s="40" t="str">
        <x:v>Videoaula</x:v>
      </x:c>
      <x:c r="E815" s="40" t="str">
        <x:v>Não iniciado</x:v>
      </x:c>
      <x:c r="F815" s="41" t="str"/>
      <x:c r="G815" s="42" t="str"/>
      <x:c r="H815" s="40" t="str">
        <x:v>Normal</x:v>
      </x:c>
      <x:c r="I815" s="40" t="str">
        <x:f>IF(E815="Concluído","Concluído",IF(A815&lt;TODAY(),"Atrasado",IF(A815=TODAY(),"Hoje","Futuro")))</x:f>
        <x:v>Futuro</x:v>
      </x:c>
      <x:c r="J815" s="43" t="n">
        <x:f>IF(OR(E815="Concluído",A815&gt;=TODAY()),0,TODAY()-A815)</x:f>
        <x:v>0</x:v>
      </x:c>
      <x:c r="K815" s="40" t="str"/>
    </x:row>
    <x:row r="816">
      <x:c r="A816" s="34" t="n">
        <x:v>46410</x:v>
      </x:c>
      <x:c r="B816" s="40" t="str">
        <x:v>Inteligência Emocional</x:v>
      </x:c>
      <x:c r="C816" s="40" t="str">
        <x:v>47 - ELO 47: Lei da Atração - Mágica ou Pseudociência</x:v>
      </x:c>
      <x:c r="D816" s="40" t="str">
        <x:v>Pdf</x:v>
      </x:c>
      <x:c r="E816" s="40" t="str">
        <x:v>Não iniciado</x:v>
      </x:c>
      <x:c r="F816" s="41" t="str"/>
      <x:c r="G816" s="42" t="str"/>
      <x:c r="H816" s="40" t="str">
        <x:v>Normal</x:v>
      </x:c>
      <x:c r="I816" s="40" t="str">
        <x:f>IF(E816="Concluído","Concluído",IF(A816&lt;TODAY(),"Atrasado",IF(A816=TODAY(),"Hoje","Futuro")))</x:f>
        <x:v>Futuro</x:v>
      </x:c>
      <x:c r="J816" s="43" t="n">
        <x:f>IF(OR(E816="Concluído",A816&gt;=TODAY()),0,TODAY()-A816)</x:f>
        <x:v>0</x:v>
      </x:c>
      <x:c r="K816" s="40" t="str"/>
    </x:row>
    <x:row r="817">
      <x:c r="A817" s="34" t="n">
        <x:v>46410</x:v>
      </x:c>
      <x:c r="B817" s="40" t="str">
        <x:v>Língua Inglesa</x:v>
      </x:c>
      <x:c r="C817" s="40" t="str">
        <x:v>45 - Marcadores de Discurso</x:v>
      </x:c>
      <x:c r="D817" s="40" t="str">
        <x:v>Videoaula</x:v>
      </x:c>
      <x:c r="E817" s="40" t="str">
        <x:v>Não iniciado</x:v>
      </x:c>
      <x:c r="F817" s="41" t="str"/>
      <x:c r="G817" s="42" t="str"/>
      <x:c r="H817" s="40" t="str">
        <x:v>Normal</x:v>
      </x:c>
      <x:c r="I817" s="40" t="str">
        <x:f>IF(E817="Concluído","Concluído",IF(A817&lt;TODAY(),"Atrasado",IF(A817=TODAY(),"Hoje","Futuro")))</x:f>
        <x:v>Futuro</x:v>
      </x:c>
      <x:c r="J817" s="43" t="n">
        <x:f>IF(OR(E817="Concluído",A817&gt;=TODAY()),0,TODAY()-A817)</x:f>
        <x:v>0</x:v>
      </x:c>
      <x:c r="K817" s="40" t="str"/>
    </x:row>
    <x:row r="818">
      <x:c r="A818" s="34" t="n">
        <x:v>46410</x:v>
      </x:c>
      <x:c r="B818" s="40" t="str">
        <x:v>Língua Inglesa</x:v>
      </x:c>
      <x:c r="C818" s="40" t="str">
        <x:v>46 - Recurring Words and Expressions</x:v>
      </x:c>
      <x:c r="D818" s="40" t="str">
        <x:v>Videoaula</x:v>
      </x:c>
      <x:c r="E818" s="40" t="str">
        <x:v>Não iniciado</x:v>
      </x:c>
      <x:c r="F818" s="41" t="str"/>
      <x:c r="G818" s="42" t="str"/>
      <x:c r="H818" s="40" t="str">
        <x:v>Normal</x:v>
      </x:c>
      <x:c r="I818" s="40" t="str">
        <x:f>IF(E818="Concluído","Concluído",IF(A818&lt;TODAY(),"Atrasado",IF(A818=TODAY(),"Hoje","Futuro")))</x:f>
        <x:v>Futuro</x:v>
      </x:c>
      <x:c r="J818" s="43" t="n">
        <x:f>IF(OR(E818="Concluído",A818&gt;=TODAY()),0,TODAY()-A818)</x:f>
        <x:v>0</x:v>
      </x:c>
      <x:c r="K818" s="40" t="str"/>
    </x:row>
    <x:row r="819">
      <x:c r="A819" s="34" t="n">
        <x:v>46411</x:v>
      </x:c>
      <x:c r="B819" s="40" t="str">
        <x:v>Língua Inglesa</x:v>
      </x:c>
      <x:c r="C819" s="40" t="str">
        <x:v>46 - Recurring Words and Expressions</x:v>
      </x:c>
      <x:c r="D819" s="40" t="str">
        <x:v>Videoaula</x:v>
      </x:c>
      <x:c r="E819" s="40" t="str">
        <x:v>Não iniciado</x:v>
      </x:c>
      <x:c r="F819" s="41" t="str"/>
      <x:c r="G819" s="42" t="str"/>
      <x:c r="H819" s="40" t="str">
        <x:v>Normal</x:v>
      </x:c>
      <x:c r="I819" s="40" t="str">
        <x:f>IF(E819="Concluído","Concluído",IF(A819&lt;TODAY(),"Atrasado",IF(A819=TODAY(),"Hoje","Futuro")))</x:f>
        <x:v>Futuro</x:v>
      </x:c>
      <x:c r="J819" s="43" t="n">
        <x:f>IF(OR(E819="Concluído",A819&gt;=TODAY()),0,TODAY()-A819)</x:f>
        <x:v>0</x:v>
      </x:c>
      <x:c r="K819" s="40" t="str"/>
    </x:row>
    <x:row r="820">
      <x:c r="A820" s="34" t="n">
        <x:v>46411</x:v>
      </x:c>
      <x:c r="B820" s="40" t="str">
        <x:v>Gestão e Governança de Tecnologia da Informação</x:v>
      </x:c>
      <x:c r="C820" s="40" t="str">
        <x:v>15 - COBIT 2019 - Objetivos de Gerenciamento II</x:v>
      </x:c>
      <x:c r="D820" s="40" t="str">
        <x:v>Videoaula</x:v>
      </x:c>
      <x:c r="E820" s="40" t="str">
        <x:v>Não iniciado</x:v>
      </x:c>
      <x:c r="F820" s="41" t="str"/>
      <x:c r="G820" s="42" t="str"/>
      <x:c r="H820" s="40" t="str">
        <x:v>Normal</x:v>
      </x:c>
      <x:c r="I820" s="40" t="str">
        <x:f>IF(E820="Concluído","Concluído",IF(A820&lt;TODAY(),"Atrasado",IF(A820=TODAY(),"Hoje","Futuro")))</x:f>
        <x:v>Futuro</x:v>
      </x:c>
      <x:c r="J820" s="43" t="n">
        <x:f>IF(OR(E820="Concluído",A820&gt;=TODAY()),0,TODAY()-A820)</x:f>
        <x:v>0</x:v>
      </x:c>
      <x:c r="K820" s="40" t="str"/>
    </x:row>
    <x:row r="821">
      <x:c r="A821" s="34" t="n">
        <x:v>46411</x:v>
      </x:c>
      <x:c r="B821" s="40" t="str">
        <x:v>Gestão e Governança de Tecnologia da Informação</x:v>
      </x:c>
      <x:c r="C821" s="40" t="str">
        <x:v>16 - COBIT 2019 - Bote Salva Vidas</x:v>
      </x:c>
      <x:c r="D821" s="40" t="str">
        <x:v>Videoaula</x:v>
      </x:c>
      <x:c r="E821" s="40" t="str">
        <x:v>Não iniciado</x:v>
      </x:c>
      <x:c r="F821" s="41" t="str"/>
      <x:c r="G821" s="42" t="str"/>
      <x:c r="H821" s="40" t="str">
        <x:v>Normal</x:v>
      </x:c>
      <x:c r="I821" s="40" t="str">
        <x:f>IF(E821="Concluído","Concluído",IF(A821&lt;TODAY(),"Atrasado",IF(A821=TODAY(),"Hoje","Futuro")))</x:f>
        <x:v>Futuro</x:v>
      </x:c>
      <x:c r="J821" s="43" t="n">
        <x:f>IF(OR(E821="Concluído",A821&gt;=TODAY()),0,TODAY()-A821)</x:f>
        <x:v>0</x:v>
      </x:c>
      <x:c r="K821" s="40" t="str"/>
    </x:row>
    <x:row r="822">
      <x:c r="A822" s="34" t="n">
        <x:v>46411</x:v>
      </x:c>
      <x:c r="B822" s="40" t="str">
        <x:v>Inteligência Emocional</x:v>
      </x:c>
      <x:c r="C822" s="40" t="str">
        <x:v>48 - ELO 48: Como Usar a Técnica da Pedra Cinza para Lidar com a Toxicidade</x:v>
      </x:c>
      <x:c r="D822" s="40" t="str">
        <x:v>Pdf</x:v>
      </x:c>
      <x:c r="E822" s="40" t="str">
        <x:v>Não iniciado</x:v>
      </x:c>
      <x:c r="F822" s="41" t="str"/>
      <x:c r="G822" s="42" t="str"/>
      <x:c r="H822" s="40" t="str">
        <x:v>Normal</x:v>
      </x:c>
      <x:c r="I822" s="40" t="str">
        <x:f>IF(E822="Concluído","Concluído",IF(A822&lt;TODAY(),"Atrasado",IF(A822=TODAY(),"Hoje","Futuro")))</x:f>
        <x:v>Futuro</x:v>
      </x:c>
      <x:c r="J822" s="43" t="n">
        <x:f>IF(OR(E822="Concluído",A822&gt;=TODAY()),0,TODAY()-A822)</x:f>
        <x:v>0</x:v>
      </x:c>
      <x:c r="K822" s="40" t="str"/>
    </x:row>
    <x:row r="823">
      <x:c r="A823" s="34" t="n">
        <x:v>46411</x:v>
      </x:c>
      <x:c r="B823" s="40" t="str">
        <x:v>Língua Inglesa</x:v>
      </x:c>
      <x:c r="C823" s="40" t="str">
        <x:v>47 - Conjunções</x:v>
      </x:c>
      <x:c r="D823" s="40" t="str">
        <x:v>Videoaula</x:v>
      </x:c>
      <x:c r="E823" s="40" t="str">
        <x:v>Não iniciado</x:v>
      </x:c>
      <x:c r="F823" s="41" t="str"/>
      <x:c r="G823" s="42" t="str"/>
      <x:c r="H823" s="40" t="str">
        <x:v>Normal</x:v>
      </x:c>
      <x:c r="I823" s="40" t="str">
        <x:f>IF(E823="Concluído","Concluído",IF(A823&lt;TODAY(),"Atrasado",IF(A823=TODAY(),"Hoje","Futuro")))</x:f>
        <x:v>Futuro</x:v>
      </x:c>
      <x:c r="J823" s="43" t="n">
        <x:f>IF(OR(E823="Concluído",A823&gt;=TODAY()),0,TODAY()-A823)</x:f>
        <x:v>0</x:v>
      </x:c>
      <x:c r="K823" s="40" t="str"/>
    </x:row>
    <x:row r="824">
      <x:c r="A824" s="34" t="n">
        <x:v>46411</x:v>
      </x:c>
      <x:c r="B824" s="40" t="str">
        <x:v>Revisão</x:v>
      </x:c>
      <x:c r="C824" s="40" t="str">
        <x:v>Revisão</x:v>
      </x:c>
      <x:c r="D824" s="40" t="str">
        <x:v>Revisao</x:v>
      </x:c>
      <x:c r="E824" s="40" t="str">
        <x:v>Não iniciado</x:v>
      </x:c>
      <x:c r="F824" s="41" t="str"/>
      <x:c r="G824" s="42" t="str"/>
      <x:c r="H824" s="40" t="str">
        <x:v>Normal</x:v>
      </x:c>
      <x:c r="I824" s="40" t="str">
        <x:f>IF(E824="Concluído","Concluído",IF(A824&lt;TODAY(),"Atrasado",IF(A824=TODAY(),"Hoje","Futuro")))</x:f>
        <x:v>Futuro</x:v>
      </x:c>
      <x:c r="J824" s="43" t="n">
        <x:f>IF(OR(E824="Concluído",A824&gt;=TODAY()),0,TODAY()-A824)</x:f>
        <x:v>0</x:v>
      </x:c>
      <x:c r="K824" s="40" t="str"/>
    </x:row>
    <x:row r="825">
      <x:c r="A825" s="34" t="n">
        <x:v>46412</x:v>
      </x:c>
      <x:c r="B825" s="40" t="str">
        <x:v>Língua Inglesa</x:v>
      </x:c>
      <x:c r="C825" s="40" t="str">
        <x:v>47 - Conjunções</x:v>
      </x:c>
      <x:c r="D825" s="40" t="str">
        <x:v>Videoaula</x:v>
      </x:c>
      <x:c r="E825" s="40" t="str">
        <x:v>Não iniciado</x:v>
      </x:c>
      <x:c r="F825" s="41" t="str"/>
      <x:c r="G825" s="42" t="str"/>
      <x:c r="H825" s="40" t="str">
        <x:v>Normal</x:v>
      </x:c>
      <x:c r="I825" s="40" t="str">
        <x:f>IF(E825="Concluído","Concluído",IF(A825&lt;TODAY(),"Atrasado",IF(A825=TODAY(),"Hoje","Futuro")))</x:f>
        <x:v>Futuro</x:v>
      </x:c>
      <x:c r="J825" s="43" t="n">
        <x:f>IF(OR(E825="Concluído",A825&gt;=TODAY()),0,TODAY()-A825)</x:f>
        <x:v>0</x:v>
      </x:c>
      <x:c r="K825" s="40" t="str"/>
    </x:row>
    <x:row r="826">
      <x:c r="A826" s="34" t="n">
        <x:v>46412</x:v>
      </x:c>
      <x:c r="B826" s="40" t="str">
        <x:v>Língua Inglesa</x:v>
      </x:c>
      <x:c r="C826" s="40" t="str">
        <x:v>48 - Determiners</x:v>
      </x:c>
      <x:c r="D826" s="40" t="str">
        <x:v>Videoaula</x:v>
      </x:c>
      <x:c r="E826" s="40" t="str">
        <x:v>Não iniciado</x:v>
      </x:c>
      <x:c r="F826" s="41" t="str"/>
      <x:c r="G826" s="42" t="str"/>
      <x:c r="H826" s="40" t="str">
        <x:v>Normal</x:v>
      </x:c>
      <x:c r="I826" s="40" t="str">
        <x:f>IF(E826="Concluído","Concluído",IF(A826&lt;TODAY(),"Atrasado",IF(A826=TODAY(),"Hoje","Futuro")))</x:f>
        <x:v>Futuro</x:v>
      </x:c>
      <x:c r="J826" s="43" t="n">
        <x:f>IF(OR(E826="Concluído",A826&gt;=TODAY()),0,TODAY()-A826)</x:f>
        <x:v>0</x:v>
      </x:c>
      <x:c r="K826" s="40" t="str"/>
    </x:row>
    <x:row r="827">
      <x:c r="A827" s="34" t="n">
        <x:v>46412</x:v>
      </x:c>
      <x:c r="B827" s="40" t="str">
        <x:v>Gestão e Governança de Tecnologia da Informação</x:v>
      </x:c>
      <x:c r="C827" s="40" t="str">
        <x:v>1 - BPMN - Visão Geral</x:v>
      </x:c>
      <x:c r="D827" s="40" t="str">
        <x:v>Videoaula</x:v>
      </x:c>
      <x:c r="E827" s="40" t="str">
        <x:v>Não iniciado</x:v>
      </x:c>
      <x:c r="F827" s="41" t="str"/>
      <x:c r="G827" s="42" t="str"/>
      <x:c r="H827" s="40" t="str">
        <x:v>Normal</x:v>
      </x:c>
      <x:c r="I827" s="40" t="str">
        <x:f>IF(E827="Concluído","Concluído",IF(A827&lt;TODAY(),"Atrasado",IF(A827=TODAY(),"Hoje","Futuro")))</x:f>
        <x:v>Futuro</x:v>
      </x:c>
      <x:c r="J827" s="43" t="n">
        <x:f>IF(OR(E827="Concluído",A827&gt;=TODAY()),0,TODAY()-A827)</x:f>
        <x:v>0</x:v>
      </x:c>
      <x:c r="K827" s="40" t="str"/>
    </x:row>
    <x:row r="828">
      <x:c r="A828" s="34" t="n">
        <x:v>46412</x:v>
      </x:c>
      <x:c r="B828" s="40" t="str">
        <x:v>Gestão e Governança de Tecnologia da Informação</x:v>
      </x:c>
      <x:c r="C828" s="40" t="str">
        <x:v>2 - BPMN - Tipos de Diagramas e Elementos</x:v>
      </x:c>
      <x:c r="D828" s="40" t="str">
        <x:v>Videoaula</x:v>
      </x:c>
      <x:c r="E828" s="40" t="str">
        <x:v>Não iniciado</x:v>
      </x:c>
      <x:c r="F828" s="41" t="str"/>
      <x:c r="G828" s="42" t="str"/>
      <x:c r="H828" s="40" t="str">
        <x:v>Normal</x:v>
      </x:c>
      <x:c r="I828" s="40" t="str">
        <x:f>IF(E828="Concluído","Concluído",IF(A828&lt;TODAY(),"Atrasado",IF(A828=TODAY(),"Hoje","Futuro")))</x:f>
        <x:v>Futuro</x:v>
      </x:c>
      <x:c r="J828" s="43" t="n">
        <x:f>IF(OR(E828="Concluído",A828&gt;=TODAY()),0,TODAY()-A828)</x:f>
        <x:v>0</x:v>
      </x:c>
      <x:c r="K828" s="40" t="str"/>
    </x:row>
    <x:row r="829">
      <x:c r="A829" s="34" t="n">
        <x:v>46412</x:v>
      </x:c>
      <x:c r="B829" s="40" t="str">
        <x:v>Inteligência Emocional</x:v>
      </x:c>
      <x:c r="C829" s="40" t="str">
        <x:v>49 - ELO 49: A Baixa Autoestima e o Concurseiro</x:v>
      </x:c>
      <x:c r="D829" s="40" t="str">
        <x:v>Pdf</x:v>
      </x:c>
      <x:c r="E829" s="40" t="str">
        <x:v>Não iniciado</x:v>
      </x:c>
      <x:c r="F829" s="41" t="str"/>
      <x:c r="G829" s="42" t="str"/>
      <x:c r="H829" s="40" t="str">
        <x:v>Normal</x:v>
      </x:c>
      <x:c r="I829" s="40" t="str">
        <x:f>IF(E829="Concluído","Concluído",IF(A829&lt;TODAY(),"Atrasado",IF(A829=TODAY(),"Hoje","Futuro")))</x:f>
        <x:v>Futuro</x:v>
      </x:c>
      <x:c r="J829" s="43" t="n">
        <x:f>IF(OR(E829="Concluído",A829&gt;=TODAY()),0,TODAY()-A829)</x:f>
        <x:v>0</x:v>
      </x:c>
      <x:c r="K829" s="40" t="str"/>
    </x:row>
    <x:row r="830">
      <x:c r="A830" s="34" t="n">
        <x:v>46413</x:v>
      </x:c>
      <x:c r="B830" s="40" t="str">
        <x:v>Inteligência Emocional</x:v>
      </x:c>
      <x:c r="C830" s="40" t="str">
        <x:v>49 - ELO 49: A Baixa Autoestima e o Concurseiro</x:v>
      </x:c>
      <x:c r="D830" s="40" t="str">
        <x:v>Pdf</x:v>
      </x:c>
      <x:c r="E830" s="40" t="str">
        <x:v>Não iniciado</x:v>
      </x:c>
      <x:c r="F830" s="41" t="str"/>
      <x:c r="G830" s="42" t="str"/>
      <x:c r="H830" s="40" t="str">
        <x:v>Normal</x:v>
      </x:c>
      <x:c r="I830" s="40" t="str">
        <x:f>IF(E830="Concluído","Concluído",IF(A830&lt;TODAY(),"Atrasado",IF(A830=TODAY(),"Hoje","Futuro")))</x:f>
        <x:v>Futuro</x:v>
      </x:c>
      <x:c r="J830" s="43" t="n">
        <x:f>IF(OR(E830="Concluído",A830&gt;=TODAY()),0,TODAY()-A830)</x:f>
        <x:v>0</x:v>
      </x:c>
      <x:c r="K830" s="40" t="str"/>
    </x:row>
    <x:row r="831">
      <x:c r="A831" s="34" t="n">
        <x:v>46413</x:v>
      </x:c>
      <x:c r="B831" s="40" t="str">
        <x:v>Língua Inglesa</x:v>
      </x:c>
      <x:c r="C831" s="40" t="str">
        <x:v>49 - Direct and Indirect Speech</x:v>
      </x:c>
      <x:c r="D831" s="40" t="str">
        <x:v>Videoaula</x:v>
      </x:c>
      <x:c r="E831" s="40" t="str">
        <x:v>Não iniciado</x:v>
      </x:c>
      <x:c r="F831" s="41" t="str"/>
      <x:c r="G831" s="42" t="str"/>
      <x:c r="H831" s="40" t="str">
        <x:v>Normal</x:v>
      </x:c>
      <x:c r="I831" s="40" t="str">
        <x:f>IF(E831="Concluído","Concluído",IF(A831&lt;TODAY(),"Atrasado",IF(A831=TODAY(),"Hoje","Futuro")))</x:f>
        <x:v>Futuro</x:v>
      </x:c>
      <x:c r="J831" s="43" t="n">
        <x:f>IF(OR(E831="Concluído",A831&gt;=TODAY()),0,TODAY()-A831)</x:f>
        <x:v>0</x:v>
      </x:c>
      <x:c r="K831" s="40" t="str"/>
    </x:row>
    <x:row r="832">
      <x:c r="A832" s="34" t="n">
        <x:v>46413</x:v>
      </x:c>
      <x:c r="B832" s="40" t="str">
        <x:v>Gestão e Governança de Tecnologia da Informação</x:v>
      </x:c>
      <x:c r="C832" s="40" t="str">
        <x:v>3 - BPMN - Elementos II</x:v>
      </x:c>
      <x:c r="D832" s="40" t="str">
        <x:v>Videoaula</x:v>
      </x:c>
      <x:c r="E832" s="40" t="str">
        <x:v>Não iniciado</x:v>
      </x:c>
      <x:c r="F832" s="41" t="str"/>
      <x:c r="G832" s="42" t="str"/>
      <x:c r="H832" s="40" t="str">
        <x:v>Normal</x:v>
      </x:c>
      <x:c r="I832" s="40" t="str">
        <x:f>IF(E832="Concluído","Concluído",IF(A832&lt;TODAY(),"Atrasado",IF(A832=TODAY(),"Hoje","Futuro")))</x:f>
        <x:v>Futuro</x:v>
      </x:c>
      <x:c r="J832" s="43" t="n">
        <x:f>IF(OR(E832="Concluído",A832&gt;=TODAY()),0,TODAY()-A832)</x:f>
        <x:v>0</x:v>
      </x:c>
      <x:c r="K832" s="40" t="str"/>
    </x:row>
    <x:row r="833">
      <x:c r="A833" s="34" t="n">
        <x:v>46413</x:v>
      </x:c>
      <x:c r="B833" s="40" t="str">
        <x:v>Gestão e Governança de Tecnologia da Informação</x:v>
      </x:c>
      <x:c r="C833" s="40" t="str">
        <x:v>4 - BPMN - Elementos III</x:v>
      </x:c>
      <x:c r="D833" s="40" t="str">
        <x:v>Videoaula</x:v>
      </x:c>
      <x:c r="E833" s="40" t="str">
        <x:v>Não iniciado</x:v>
      </x:c>
      <x:c r="F833" s="41" t="str"/>
      <x:c r="G833" s="42" t="str"/>
      <x:c r="H833" s="40" t="str">
        <x:v>Normal</x:v>
      </x:c>
      <x:c r="I833" s="40" t="str">
        <x:f>IF(E833="Concluído","Concluído",IF(A833&lt;TODAY(),"Atrasado",IF(A833=TODAY(),"Hoje","Futuro")))</x:f>
        <x:v>Futuro</x:v>
      </x:c>
      <x:c r="J833" s="43" t="n">
        <x:f>IF(OR(E833="Concluído",A833&gt;=TODAY()),0,TODAY()-A833)</x:f>
        <x:v>0</x:v>
      </x:c>
      <x:c r="K833" s="40" t="str"/>
    </x:row>
    <x:row r="834">
      <x:c r="A834" s="34" t="n">
        <x:v>46414</x:v>
      </x:c>
      <x:c r="B834" s="40" t="str">
        <x:v>Gestão e Governança de Tecnologia da Informação</x:v>
      </x:c>
      <x:c r="C834" s="40" t="str">
        <x:v>4 - BPMN - Elementos III</x:v>
      </x:c>
      <x:c r="D834" s="40" t="str">
        <x:v>Videoaula</x:v>
      </x:c>
      <x:c r="E834" s="40" t="str">
        <x:v>Não iniciado</x:v>
      </x:c>
      <x:c r="F834" s="41" t="str"/>
      <x:c r="G834" s="42" t="str"/>
      <x:c r="H834" s="40" t="str">
        <x:v>Normal</x:v>
      </x:c>
      <x:c r="I834" s="40" t="str">
        <x:f>IF(E834="Concluído","Concluído",IF(A834&lt;TODAY(),"Atrasado",IF(A834=TODAY(),"Hoje","Futuro")))</x:f>
        <x:v>Futuro</x:v>
      </x:c>
      <x:c r="J834" s="43" t="n">
        <x:f>IF(OR(E834="Concluído",A834&gt;=TODAY()),0,TODAY()-A834)</x:f>
        <x:v>0</x:v>
      </x:c>
      <x:c r="K834" s="40" t="str"/>
    </x:row>
    <x:row r="835">
      <x:c r="A835" s="34" t="n">
        <x:v>46414</x:v>
      </x:c>
      <x:c r="B835" s="40" t="str">
        <x:v>Inteligência Emocional</x:v>
      </x:c>
      <x:c r="C835" s="40" t="str">
        <x:v>50 - ELO 50: A Garra e o Concurseiro</x:v>
      </x:c>
      <x:c r="D835" s="40" t="str">
        <x:v>Pdf</x:v>
      </x:c>
      <x:c r="E835" s="40" t="str">
        <x:v>Não iniciado</x:v>
      </x:c>
      <x:c r="F835" s="41" t="str"/>
      <x:c r="G835" s="42" t="str"/>
      <x:c r="H835" s="40" t="str">
        <x:v>Normal</x:v>
      </x:c>
      <x:c r="I835" s="40" t="str">
        <x:f>IF(E835="Concluído","Concluído",IF(A835&lt;TODAY(),"Atrasado",IF(A835=TODAY(),"Hoje","Futuro")))</x:f>
        <x:v>Futuro</x:v>
      </x:c>
      <x:c r="J835" s="43" t="n">
        <x:f>IF(OR(E835="Concluído",A835&gt;=TODAY()),0,TODAY()-A835)</x:f>
        <x:v>0</x:v>
      </x:c>
      <x:c r="K835" s="40" t="str"/>
    </x:row>
    <x:row r="836">
      <x:c r="A836" s="34" t="n">
        <x:v>46414</x:v>
      </x:c>
      <x:c r="B836" s="40" t="str">
        <x:v>Gestão e Governança de Tecnologia da Informação</x:v>
      </x:c>
      <x:c r="C836" s="40" t="str">
        <x:v>5 - BPMN - Elementos IV</x:v>
      </x:c>
      <x:c r="D836" s="40" t="str">
        <x:v>Videoaula</x:v>
      </x:c>
      <x:c r="E836" s="40" t="str">
        <x:v>Não iniciado</x:v>
      </x:c>
      <x:c r="F836" s="41" t="str"/>
      <x:c r="G836" s="42" t="str"/>
      <x:c r="H836" s="40" t="str">
        <x:v>Normal</x:v>
      </x:c>
      <x:c r="I836" s="40" t="str">
        <x:f>IF(E836="Concluído","Concluído",IF(A836&lt;TODAY(),"Atrasado",IF(A836=TODAY(),"Hoje","Futuro")))</x:f>
        <x:v>Futuro</x:v>
      </x:c>
      <x:c r="J836" s="43" t="n">
        <x:f>IF(OR(E836="Concluído",A836&gt;=TODAY()),0,TODAY()-A836)</x:f>
        <x:v>0</x:v>
      </x:c>
      <x:c r="K836" s="40" t="str"/>
    </x:row>
    <x:row r="837">
      <x:c r="A837" s="34" t="n">
        <x:v>46414</x:v>
      </x:c>
      <x:c r="B837" s="40" t="str">
        <x:v>Gestão e Governança de Tecnologia da Informação</x:v>
      </x:c>
      <x:c r="C837" s="40" t="str">
        <x:v>6 - BPMN - Melhores Práticas e Erros Comuns</x:v>
      </x:c>
      <x:c r="D837" s="40" t="str">
        <x:v>Videoaula</x:v>
      </x:c>
      <x:c r="E837" s="40" t="str">
        <x:v>Não iniciado</x:v>
      </x:c>
      <x:c r="F837" s="41" t="str"/>
      <x:c r="G837" s="42" t="str"/>
      <x:c r="H837" s="40" t="str">
        <x:v>Normal</x:v>
      </x:c>
      <x:c r="I837" s="40" t="str">
        <x:f>IF(E837="Concluído","Concluído",IF(A837&lt;TODAY(),"Atrasado",IF(A837=TODAY(),"Hoje","Futuro")))</x:f>
        <x:v>Futuro</x:v>
      </x:c>
      <x:c r="J837" s="43" t="n">
        <x:f>IF(OR(E837="Concluído",A837&gt;=TODAY()),0,TODAY()-A837)</x:f>
        <x:v>0</x:v>
      </x:c>
      <x:c r="K837" s="40" t="str"/>
    </x:row>
    <x:row r="838">
      <x:c r="A838" s="34" t="n">
        <x:v>46415</x:v>
      </x:c>
      <x:c r="B838" s="40" t="str">
        <x:v>Inteligência Emocional</x:v>
      </x:c>
      <x:c r="C838" s="40" t="str">
        <x:v>51 - ELO 51: A Síndrome do Impostor e o Concurseiro</x:v>
      </x:c>
      <x:c r="D838" s="40" t="str">
        <x:v>Pdf</x:v>
      </x:c>
      <x:c r="E838" s="40" t="str">
        <x:v>Não iniciado</x:v>
      </x:c>
      <x:c r="F838" s="41" t="str"/>
      <x:c r="G838" s="42" t="str"/>
      <x:c r="H838" s="40" t="str">
        <x:v>Normal</x:v>
      </x:c>
      <x:c r="I838" s="40" t="str">
        <x:f>IF(E838="Concluído","Concluído",IF(A838&lt;TODAY(),"Atrasado",IF(A838=TODAY(),"Hoje","Futuro")))</x:f>
        <x:v>Futuro</x:v>
      </x:c>
      <x:c r="J838" s="43" t="n">
        <x:f>IF(OR(E838="Concluído",A838&gt;=TODAY()),0,TODAY()-A838)</x:f>
        <x:v>0</x:v>
      </x:c>
      <x:c r="K838" s="40" t="str"/>
    </x:row>
    <x:row r="839">
      <x:c r="A839" s="34" t="n">
        <x:v>46415</x:v>
      </x:c>
      <x:c r="B839" s="40" t="str">
        <x:v>Gestão e Governança de Tecnologia da Informação</x:v>
      </x:c>
      <x:c r="C839" s="40" t="str">
        <x:v>1 - Instrução Normativa SGD/ME nº 1/2019 - Contratação de Soluções de Tecnologia da Informação e Comunicação - TIC - Conceitos Gerais</x:v>
      </x:c>
      <x:c r="D839" s="40" t="str">
        <x:v>Videoaula</x:v>
      </x:c>
      <x:c r="E839" s="40" t="str">
        <x:v>Não iniciado</x:v>
      </x:c>
      <x:c r="F839" s="41" t="str"/>
      <x:c r="G839" s="42" t="str"/>
      <x:c r="H839" s="40" t="str">
        <x:v>Normal</x:v>
      </x:c>
      <x:c r="I839" s="40" t="str">
        <x:f>IF(E839="Concluído","Concluído",IF(A839&lt;TODAY(),"Atrasado",IF(A839=TODAY(),"Hoje","Futuro")))</x:f>
        <x:v>Futuro</x:v>
      </x:c>
      <x:c r="J839" s="43" t="n">
        <x:f>IF(OR(E839="Concluído",A839&gt;=TODAY()),0,TODAY()-A839)</x:f>
        <x:v>0</x:v>
      </x:c>
      <x:c r="K839" s="40" t="str"/>
    </x:row>
    <x:row r="840">
      <x:c r="A840" s="34" t="n">
        <x:v>46415</x:v>
      </x:c>
      <x:c r="B840" s="40" t="str">
        <x:v>Gestão e Governança de Tecnologia da Informação</x:v>
      </x:c>
      <x:c r="C840" s="40" t="str">
        <x:v>2 - Instrução Normativa SGD/ME nº 1/2019 - Contratação de Soluções de Tecnologia da Informação e Comunicação - TIC - Conceitos Gerais II</x:v>
      </x:c>
      <x:c r="D840" s="40" t="str">
        <x:v>Videoaula</x:v>
      </x:c>
      <x:c r="E840" s="40" t="str">
        <x:v>Não iniciado</x:v>
      </x:c>
      <x:c r="F840" s="41" t="str"/>
      <x:c r="G840" s="42" t="str"/>
      <x:c r="H840" s="40" t="str">
        <x:v>Normal</x:v>
      </x:c>
      <x:c r="I840" s="40" t="str">
        <x:f>IF(E840="Concluído","Concluído",IF(A840&lt;TODAY(),"Atrasado",IF(A840=TODAY(),"Hoje","Futuro")))</x:f>
        <x:v>Futuro</x:v>
      </x:c>
      <x:c r="J840" s="43" t="n">
        <x:f>IF(OR(E840="Concluído",A840&gt;=TODAY()),0,TODAY()-A840)</x:f>
        <x:v>0</x:v>
      </x:c>
      <x:c r="K840" s="40" t="str"/>
    </x:row>
    <x:row r="841">
      <x:c r="A841" s="34" t="n">
        <x:v>46415</x:v>
      </x:c>
      <x:c r="B841" s="40" t="str">
        <x:v>Inteligência Emocional</x:v>
      </x:c>
      <x:c r="C841" s="40" t="str">
        <x:v>52 - ELO 52: Efeito Dunning-Kruger e o Concurseiro</x:v>
      </x:c>
      <x:c r="D841" s="40" t="str">
        <x:v>Pdf</x:v>
      </x:c>
      <x:c r="E841" s="40" t="str">
        <x:v>Não iniciado</x:v>
      </x:c>
      <x:c r="F841" s="41" t="str"/>
      <x:c r="G841" s="42" t="str"/>
      <x:c r="H841" s="40" t="str">
        <x:v>Normal</x:v>
      </x:c>
      <x:c r="I841" s="40" t="str">
        <x:f>IF(E841="Concluído","Concluído",IF(A841&lt;TODAY(),"Atrasado",IF(A841=TODAY(),"Hoje","Futuro")))</x:f>
        <x:v>Futuro</x:v>
      </x:c>
      <x:c r="J841" s="43" t="n">
        <x:f>IF(OR(E841="Concluído",A841&gt;=TODAY()),0,TODAY()-A841)</x:f>
        <x:v>0</x:v>
      </x:c>
      <x:c r="K841" s="40" t="str"/>
    </x:row>
    <x:row r="842">
      <x:c r="A842" s="34" t="n">
        <x:v>46416</x:v>
      </x:c>
      <x:c r="B842" s="40" t="str">
        <x:v>Inteligência Emocional</x:v>
      </x:c>
      <x:c r="C842" s="40" t="str">
        <x:v>52 - ELO 52: Efeito Dunning-Kruger e o Concurseiro</x:v>
      </x:c>
      <x:c r="D842" s="40" t="str">
        <x:v>Pdf</x:v>
      </x:c>
      <x:c r="E842" s="40" t="str">
        <x:v>Não iniciado</x:v>
      </x:c>
      <x:c r="F842" s="41" t="str"/>
      <x:c r="G842" s="42" t="str"/>
      <x:c r="H842" s="40" t="str">
        <x:v>Normal</x:v>
      </x:c>
      <x:c r="I842" s="40" t="str">
        <x:f>IF(E842="Concluído","Concluído",IF(A842&lt;TODAY(),"Atrasado",IF(A842=TODAY(),"Hoje","Futuro")))</x:f>
        <x:v>Futuro</x:v>
      </x:c>
      <x:c r="J842" s="43" t="n">
        <x:f>IF(OR(E842="Concluído",A842&gt;=TODAY()),0,TODAY()-A842)</x:f>
        <x:v>0</x:v>
      </x:c>
      <x:c r="K842" s="40" t="str"/>
    </x:row>
    <x:row r="843">
      <x:c r="A843" s="34" t="n">
        <x:v>46416</x:v>
      </x:c>
      <x:c r="B843" s="40" t="str">
        <x:v>Gestão e Governança de Tecnologia da Informação</x:v>
      </x:c>
      <x:c r="C843" s="40" t="str">
        <x:v>3 - Instrução Normativa SGD/ME nº 1/2019 - Contratação de Soluções de Tecnologia da Informação e Comunicação - TIC - Conceitos Gerais III - Vedações</x:v>
      </x:c>
      <x:c r="D843" s="40" t="str">
        <x:v>Videoaula</x:v>
      </x:c>
      <x:c r="E843" s="40" t="str">
        <x:v>Não iniciado</x:v>
      </x:c>
      <x:c r="F843" s="41" t="str"/>
      <x:c r="G843" s="42" t="str"/>
      <x:c r="H843" s="40" t="str">
        <x:v>Normal</x:v>
      </x:c>
      <x:c r="I843" s="40" t="str">
        <x:f>IF(E843="Concluído","Concluído",IF(A843&lt;TODAY(),"Atrasado",IF(A843=TODAY(),"Hoje","Futuro")))</x:f>
        <x:v>Futuro</x:v>
      </x:c>
      <x:c r="J843" s="43" t="n">
        <x:f>IF(OR(E843="Concluído",A843&gt;=TODAY()),0,TODAY()-A843)</x:f>
        <x:v>0</x:v>
      </x:c>
      <x:c r="K843" s="40" t="str"/>
    </x:row>
    <x:row r="844">
      <x:c r="A844" s="34" t="n">
        <x:v>46416</x:v>
      </x:c>
      <x:c r="B844" s="40" t="str">
        <x:v>Gestão e Governança de Tecnologia da Informação</x:v>
      </x:c>
      <x:c r="C844" s="40" t="str">
        <x:v>4 - Instrução Normativa SGD/ME nº 1/2019 - Contratação de Soluções de Tecnologia da Informação e Comunicação - TIC - Do Processo de Contratação Planejamento da Contratação</x:v>
      </x:c>
      <x:c r="D844" s="40" t="str">
        <x:v>Videoaula</x:v>
      </x:c>
      <x:c r="E844" s="40" t="str">
        <x:v>Não iniciado</x:v>
      </x:c>
      <x:c r="F844" s="41" t="str"/>
      <x:c r="G844" s="42" t="str"/>
      <x:c r="H844" s="40" t="str">
        <x:v>Normal</x:v>
      </x:c>
      <x:c r="I844" s="40" t="str">
        <x:f>IF(E844="Concluído","Concluído",IF(A844&lt;TODAY(),"Atrasado",IF(A844=TODAY(),"Hoje","Futuro")))</x:f>
        <x:v>Futuro</x:v>
      </x:c>
      <x:c r="J844" s="43" t="n">
        <x:f>IF(OR(E844="Concluído",A844&gt;=TODAY()),0,TODAY()-A844)</x:f>
        <x:v>0</x:v>
      </x:c>
      <x:c r="K844" s="40" t="str"/>
    </x:row>
    <x:row r="845">
      <x:c r="A845" s="34" t="n">
        <x:v>46416</x:v>
      </x:c>
      <x:c r="B845" s="40" t="str">
        <x:v>Inteligência Emocional</x:v>
      </x:c>
      <x:c r="C845" s="40" t="str">
        <x:v>53 - ELO 53: O Concurseiro e a Mentalidade Forte</x:v>
      </x:c>
      <x:c r="D845" s="40" t="str">
        <x:v>Pdf</x:v>
      </x:c>
      <x:c r="E845" s="40" t="str">
        <x:v>Não iniciado</x:v>
      </x:c>
      <x:c r="F845" s="41" t="str"/>
      <x:c r="G845" s="42" t="str"/>
      <x:c r="H845" s="40" t="str">
        <x:v>Normal</x:v>
      </x:c>
      <x:c r="I845" s="40" t="str">
        <x:f>IF(E845="Concluído","Concluído",IF(A845&lt;TODAY(),"Atrasado",IF(A845=TODAY(),"Hoje","Futuro")))</x:f>
        <x:v>Futuro</x:v>
      </x:c>
      <x:c r="J845" s="43" t="n">
        <x:f>IF(OR(E845="Concluído",A845&gt;=TODAY()),0,TODAY()-A845)</x:f>
        <x:v>0</x:v>
      </x:c>
      <x:c r="K845" s="40" t="str"/>
    </x:row>
    <x:row r="846">
      <x:c r="A846" s="34" t="n">
        <x:v>46417</x:v>
      </x:c>
      <x:c r="B846" s="40" t="str">
        <x:v>Inteligência Emocional</x:v>
      </x:c>
      <x:c r="C846" s="40" t="str">
        <x:v>53 - ELO 53: O Concurseiro e a Mentalidade Forte</x:v>
      </x:c>
      <x:c r="D846" s="40" t="str">
        <x:v>Pdf</x:v>
      </x:c>
      <x:c r="E846" s="40" t="str">
        <x:v>Não iniciado</x:v>
      </x:c>
      <x:c r="F846" s="41" t="str"/>
      <x:c r="G846" s="42" t="str"/>
      <x:c r="H846" s="40" t="str">
        <x:v>Normal</x:v>
      </x:c>
      <x:c r="I846" s="40" t="str">
        <x:f>IF(E846="Concluído","Concluído",IF(A846&lt;TODAY(),"Atrasado",IF(A846=TODAY(),"Hoje","Futuro")))</x:f>
        <x:v>Futuro</x:v>
      </x:c>
      <x:c r="J846" s="43" t="n">
        <x:f>IF(OR(E846="Concluído",A846&gt;=TODAY()),0,TODAY()-A846)</x:f>
        <x:v>0</x:v>
      </x:c>
      <x:c r="K846" s="40" t="str"/>
    </x:row>
    <x:row r="847">
      <x:c r="A847" s="34" t="n">
        <x:v>46417</x:v>
      </x:c>
      <x:c r="B847" s="40" t="str">
        <x:v>Gestão e Governança de Tecnologia da Informação</x:v>
      </x:c>
      <x:c r="C847" s="40" t="str">
        <x:v>5 - Instrução Normativa SGD/ME nº 1/2019 - Contratação de Soluções de Tecnologia da Informação e Comunicação - TIC - Do Processo de Contratação Planejamento da Contratação - DOD e ETP</x:v>
      </x:c>
      <x:c r="D847" s="40" t="str">
        <x:v>Videoaula</x:v>
      </x:c>
      <x:c r="E847" s="40" t="str">
        <x:v>Não iniciado</x:v>
      </x:c>
      <x:c r="F847" s="41" t="str"/>
      <x:c r="G847" s="42" t="str"/>
      <x:c r="H847" s="40" t="str">
        <x:v>Normal</x:v>
      </x:c>
      <x:c r="I847" s="40" t="str">
        <x:f>IF(E847="Concluído","Concluído",IF(A847&lt;TODAY(),"Atrasado",IF(A847=TODAY(),"Hoje","Futuro")))</x:f>
        <x:v>Futuro</x:v>
      </x:c>
      <x:c r="J847" s="43" t="n">
        <x:f>IF(OR(E847="Concluído",A847&gt;=TODAY()),0,TODAY()-A847)</x:f>
        <x:v>0</x:v>
      </x:c>
      <x:c r="K847" s="40" t="str"/>
    </x:row>
    <x:row r="848">
      <x:c r="A848" s="34" t="n">
        <x:v>46417</x:v>
      </x:c>
      <x:c r="B848" s="40" t="str">
        <x:v>Gestão e Governança de Tecnologia da Informação</x:v>
      </x:c>
      <x:c r="C848" s="40" t="str">
        <x:v>6 - Instrução Normativa SGD/ME nº 1/2019 - Contratação de Soluções de Tecnologia da Informação e Comunicação - TIC - Do Processo de Contratação Planejamento da Contratação - Termo de Referência TR</x:v>
      </x:c>
      <x:c r="D848" s="40" t="str">
        <x:v>Videoaula</x:v>
      </x:c>
      <x:c r="E848" s="40" t="str">
        <x:v>Não iniciado</x:v>
      </x:c>
      <x:c r="F848" s="41" t="str"/>
      <x:c r="G848" s="42" t="str"/>
      <x:c r="H848" s="40" t="str">
        <x:v>Normal</x:v>
      </x:c>
      <x:c r="I848" s="40" t="str">
        <x:f>IF(E848="Concluído","Concluído",IF(A848&lt;TODAY(),"Atrasado",IF(A848=TODAY(),"Hoje","Futuro")))</x:f>
        <x:v>Futuro</x:v>
      </x:c>
      <x:c r="J848" s="43" t="n">
        <x:f>IF(OR(E848="Concluído",A848&gt;=TODAY()),0,TODAY()-A848)</x:f>
        <x:v>0</x:v>
      </x:c>
      <x:c r="K848" s="40" t="str"/>
    </x:row>
    <x:row r="849">
      <x:c r="A849" s="34" t="n">
        <x:v>46417</x:v>
      </x:c>
      <x:c r="B849" s="40" t="str">
        <x:v>Inteligência Emocional</x:v>
      </x:c>
      <x:c r="C849" s="40" t="str">
        <x:v>54 - ELO 54: Como Superar a Reprovação</x:v>
      </x:c>
      <x:c r="D849" s="40" t="str">
        <x:v>Pdf</x:v>
      </x:c>
      <x:c r="E849" s="40" t="str">
        <x:v>Não iniciado</x:v>
      </x:c>
      <x:c r="F849" s="41" t="str"/>
      <x:c r="G849" s="42" t="str"/>
      <x:c r="H849" s="40" t="str">
        <x:v>Normal</x:v>
      </x:c>
      <x:c r="I849" s="40" t="str">
        <x:f>IF(E849="Concluído","Concluído",IF(A849&lt;TODAY(),"Atrasado",IF(A849=TODAY(),"Hoje","Futuro")))</x:f>
        <x:v>Futuro</x:v>
      </x:c>
      <x:c r="J849" s="43" t="n">
        <x:f>IF(OR(E849="Concluído",A849&gt;=TODAY()),0,TODAY()-A849)</x:f>
        <x:v>0</x:v>
      </x:c>
      <x:c r="K849" s="40" t="str"/>
    </x:row>
    <x:row r="850">
      <x:c r="A850" s="34" t="n">
        <x:v>46418</x:v>
      </x:c>
      <x:c r="B850" s="40" t="str">
        <x:v>Inteligência Emocional</x:v>
      </x:c>
      <x:c r="C850" s="40" t="str">
        <x:v>54 - ELO 54: Como Superar a Reprovação</x:v>
      </x:c>
      <x:c r="D850" s="40" t="str">
        <x:v>Pdf</x:v>
      </x:c>
      <x:c r="E850" s="40" t="str">
        <x:v>Não iniciado</x:v>
      </x:c>
      <x:c r="F850" s="41" t="str"/>
      <x:c r="G850" s="42" t="str"/>
      <x:c r="H850" s="40" t="str">
        <x:v>Normal</x:v>
      </x:c>
      <x:c r="I850" s="40" t="str">
        <x:f>IF(E850="Concluído","Concluído",IF(A850&lt;TODAY(),"Atrasado",IF(A850=TODAY(),"Hoje","Futuro")))</x:f>
        <x:v>Futuro</x:v>
      </x:c>
      <x:c r="J850" s="43" t="n">
        <x:f>IF(OR(E850="Concluído",A850&gt;=TODAY()),0,TODAY()-A850)</x:f>
        <x:v>0</x:v>
      </x:c>
      <x:c r="K850" s="40" t="str"/>
    </x:row>
    <x:row r="851">
      <x:c r="A851" s="34" t="n">
        <x:v>46418</x:v>
      </x:c>
      <x:c r="B851" s="40" t="str">
        <x:v>Gestão e Governança de Tecnologia da Informação</x:v>
      </x:c>
      <x:c r="C851" s="40" t="str">
        <x:v>7 - Instrução Normativa SGD/ME nº 1/2019 - Contratação de Soluções de Tecnologia da Informação e Comunicação - TIC - Do Processo de Contratação Planejamento da Contratação - Seleção dos Fornecedores</x:v>
      </x:c>
      <x:c r="D851" s="40" t="str">
        <x:v>Videoaula</x:v>
      </x:c>
      <x:c r="E851" s="40" t="str">
        <x:v>Não iniciado</x:v>
      </x:c>
      <x:c r="F851" s="41" t="str"/>
      <x:c r="G851" s="42" t="str"/>
      <x:c r="H851" s="40" t="str">
        <x:v>Normal</x:v>
      </x:c>
      <x:c r="I851" s="40" t="str">
        <x:f>IF(E851="Concluído","Concluído",IF(A851&lt;TODAY(),"Atrasado",IF(A851=TODAY(),"Hoje","Futuro")))</x:f>
        <x:v>Futuro</x:v>
      </x:c>
      <x:c r="J851" s="43" t="n">
        <x:f>IF(OR(E851="Concluído",A851&gt;=TODAY()),0,TODAY()-A851)</x:f>
        <x:v>0</x:v>
      </x:c>
      <x:c r="K851" s="40" t="str"/>
    </x:row>
    <x:row r="852">
      <x:c r="A852" s="34" t="n">
        <x:v>46418</x:v>
      </x:c>
      <x:c r="B852" s="40" t="str">
        <x:v>Gestão e Governança de Tecnologia da Informação</x:v>
      </x:c>
      <x:c r="C852" s="40" t="str">
        <x:v>8 - Instrução Normativa SGD/ME nº 1/2019 - Contratação de Soluções de Tecnologia da Informação e Comunicação - TIC - Do Processo de Contratação Planejamento da Contratação - Gestão de Contrato</x:v>
      </x:c>
      <x:c r="D852" s="40" t="str">
        <x:v>Videoaula</x:v>
      </x:c>
      <x:c r="E852" s="40" t="str">
        <x:v>Não iniciado</x:v>
      </x:c>
      <x:c r="F852" s="41" t="str"/>
      <x:c r="G852" s="42" t="str"/>
      <x:c r="H852" s="40" t="str">
        <x:v>Normal</x:v>
      </x:c>
      <x:c r="I852" s="40" t="str">
        <x:f>IF(E852="Concluído","Concluído",IF(A852&lt;TODAY(),"Atrasado",IF(A852=TODAY(),"Hoje","Futuro")))</x:f>
        <x:v>Futuro</x:v>
      </x:c>
      <x:c r="J852" s="43" t="n">
        <x:f>IF(OR(E852="Concluído",A852&gt;=TODAY()),0,TODAY()-A852)</x:f>
        <x:v>0</x:v>
      </x:c>
      <x:c r="K852" s="40" t="str"/>
    </x:row>
    <x:row r="853">
      <x:c r="A853" s="34" t="n">
        <x:v>46418</x:v>
      </x:c>
      <x:c r="B853" s="40" t="str">
        <x:v>Revisão</x:v>
      </x:c>
      <x:c r="C853" s="40" t="str">
        <x:v>Revisão</x:v>
      </x:c>
      <x:c r="D853" s="40" t="str">
        <x:v>Revisao</x:v>
      </x:c>
      <x:c r="E853" s="40" t="str">
        <x:v>Não iniciado</x:v>
      </x:c>
      <x:c r="F853" s="41" t="str"/>
      <x:c r="G853" s="42" t="str"/>
      <x:c r="H853" s="40" t="str">
        <x:v>Normal</x:v>
      </x:c>
      <x:c r="I853" s="40" t="str">
        <x:f>IF(E853="Concluído","Concluído",IF(A853&lt;TODAY(),"Atrasado",IF(A853=TODAY(),"Hoje","Futuro")))</x:f>
        <x:v>Futuro</x:v>
      </x:c>
      <x:c r="J853" s="43" t="n">
        <x:f>IF(OR(E853="Concluído",A853&gt;=TODAY()),0,TODAY()-A853)</x:f>
        <x:v>0</x:v>
      </x:c>
      <x:c r="K853" s="40" t="str"/>
    </x:row>
    <x:row r="854">
      <x:c r="A854" s="34" t="n">
        <x:v>46419</x:v>
      </x:c>
      <x:c r="B854" s="40" t="str">
        <x:v>Inteligência Emocional</x:v>
      </x:c>
      <x:c r="C854" s="40" t="str">
        <x:v>55 - ELO 55: O Impacto do Uso das Telas na Produtividade</x:v>
      </x:c>
      <x:c r="D854" s="40" t="str">
        <x:v>Pdf</x:v>
      </x:c>
      <x:c r="E854" s="40" t="str">
        <x:v>Não iniciado</x:v>
      </x:c>
      <x:c r="F854" s="41" t="str"/>
      <x:c r="G854" s="42" t="str"/>
      <x:c r="H854" s="40" t="str">
        <x:v>Normal</x:v>
      </x:c>
      <x:c r="I854" s="40" t="str">
        <x:f>IF(E854="Concluído","Concluído",IF(A854&lt;TODAY(),"Atrasado",IF(A854=TODAY(),"Hoje","Futuro")))</x:f>
        <x:v>Futuro</x:v>
      </x:c>
      <x:c r="J854" s="43" t="n">
        <x:f>IF(OR(E854="Concluído",A854&gt;=TODAY()),0,TODAY()-A854)</x:f>
        <x:v>0</x:v>
      </x:c>
      <x:c r="K854" s="40" t="str"/>
    </x:row>
    <x:row r="855">
      <x:c r="A855" s="34" t="n">
        <x:v>46419</x:v>
      </x:c>
      <x:c r="B855" s="40" t="str">
        <x:v>Gestão e Governança de Tecnologia da Informação</x:v>
      </x:c>
      <x:c r="C855" s="40" t="str">
        <x:v>9 - Instrução Normativa SGD/ME nº 1/2019 - Contratação de Soluções de Tecnologia da Informação e Comunicação - TIC - Do Processo de Contratação Planejamento da Contratação - Transparência, Gestão de Riscos e Anexo - Diretrizes para o Planejamento da Contratação</x:v>
      </x:c>
      <x:c r="D855" s="40" t="str">
        <x:v>Videoaula</x:v>
      </x:c>
      <x:c r="E855" s="40" t="str">
        <x:v>Não iniciado</x:v>
      </x:c>
      <x:c r="F855" s="41" t="str"/>
      <x:c r="G855" s="42" t="str"/>
      <x:c r="H855" s="40" t="str">
        <x:v>Normal</x:v>
      </x:c>
      <x:c r="I855" s="40" t="str">
        <x:f>IF(E855="Concluído","Concluído",IF(A855&lt;TODAY(),"Atrasado",IF(A855=TODAY(),"Hoje","Futuro")))</x:f>
        <x:v>Futuro</x:v>
      </x:c>
      <x:c r="J855" s="43" t="n">
        <x:f>IF(OR(E855="Concluído",A855&gt;=TODAY()),0,TODAY()-A855)</x:f>
        <x:v>0</x:v>
      </x:c>
      <x:c r="K855" s="40" t="str"/>
    </x:row>
    <x:row r="856">
      <x:c r="A856" s="34" t="n">
        <x:v>46419</x:v>
      </x:c>
      <x:c r="B856" s="40" t="str">
        <x:v>Gestão e Governança de Tecnologia da Informação</x:v>
      </x:c>
      <x:c r="C856" s="40" t="str">
        <x:v>10 - Instrução Normativa SGD/ME nº 1/2019 - Contratação de Soluções de Tecnologia da Informação e Comunicação - TIC - Do Processo de Contratação Planejamento da Contratação - Bote Salva Vidas</x:v>
      </x:c>
      <x:c r="D856" s="40" t="str">
        <x:v>Videoaula</x:v>
      </x:c>
      <x:c r="E856" s="40" t="str">
        <x:v>Não iniciado</x:v>
      </x:c>
      <x:c r="F856" s="41" t="str"/>
      <x:c r="G856" s="42" t="str"/>
      <x:c r="H856" s="40" t="str">
        <x:v>Normal</x:v>
      </x:c>
      <x:c r="I856" s="40" t="str">
        <x:f>IF(E856="Concluído","Concluído",IF(A856&lt;TODAY(),"Atrasado",IF(A856=TODAY(),"Hoje","Futuro")))</x:f>
        <x:v>Futuro</x:v>
      </x:c>
      <x:c r="J856" s="43" t="n">
        <x:f>IF(OR(E856="Concluído",A856&gt;=TODAY()),0,TODAY()-A856)</x:f>
        <x:v>0</x:v>
      </x:c>
      <x:c r="K856" s="40" t="str"/>
    </x:row>
    <x:row r="857">
      <x:c r="A857" s="34" t="n">
        <x:v>46420</x:v>
      </x:c>
      <x:c r="B857" s="40" t="str">
        <x:v>Gestão e Governança de Tecnologia da Informação</x:v>
      </x:c>
      <x:c r="C857" s="40" t="str">
        <x:v>10 - Instrução Normativa SGD/ME nº 1/2019 - Contratação de Soluções de Tecnologia da Informação e Comunicação - TIC - Do Processo de Contratação Planejamento da Contratação - Bote Salva Vidas</x:v>
      </x:c>
      <x:c r="D857" s="40" t="str">
        <x:v>Videoaula</x:v>
      </x:c>
      <x:c r="E857" s="40" t="str">
        <x:v>Não iniciado</x:v>
      </x:c>
      <x:c r="F857" s="41" t="str"/>
      <x:c r="G857" s="42" t="str"/>
      <x:c r="H857" s="40" t="str">
        <x:v>Normal</x:v>
      </x:c>
      <x:c r="I857" s="40" t="str">
        <x:f>IF(E857="Concluído","Concluído",IF(A857&lt;TODAY(),"Atrasado",IF(A857=TODAY(),"Hoje","Futuro")))</x:f>
        <x:v>Futuro</x:v>
      </x:c>
      <x:c r="J857" s="43" t="n">
        <x:f>IF(OR(E857="Concluído",A857&gt;=TODAY()),0,TODAY()-A857)</x:f>
        <x:v>0</x:v>
      </x:c>
      <x:c r="K857" s="40" t="str"/>
    </x:row>
    <x:row r="858">
      <x:c r="A858" s="34" t="n">
        <x:v>46420</x:v>
      </x:c>
      <x:c r="B858" s="40" t="str">
        <x:v>Inteligência Emocional</x:v>
      </x:c>
      <x:c r="C858" s="40" t="str">
        <x:v>56 - ELO 56: Como Recomeçar depois do Caos</x:v>
      </x:c>
      <x:c r="D858" s="40" t="str">
        <x:v>Pdf</x:v>
      </x:c>
      <x:c r="E858" s="40" t="str">
        <x:v>Não iniciado</x:v>
      </x:c>
      <x:c r="F858" s="41" t="str"/>
      <x:c r="G858" s="42" t="str"/>
      <x:c r="H858" s="40" t="str">
        <x:v>Normal</x:v>
      </x:c>
      <x:c r="I858" s="40" t="str">
        <x:f>IF(E858="Concluído","Concluído",IF(A858&lt;TODAY(),"Atrasado",IF(A858=TODAY(),"Hoje","Futuro")))</x:f>
        <x:v>Futuro</x:v>
      </x:c>
      <x:c r="J858" s="43" t="n">
        <x:f>IF(OR(E858="Concluído",A858&gt;=TODAY()),0,TODAY()-A858)</x:f>
        <x:v>0</x:v>
      </x:c>
      <x:c r="K858" s="40" t="str"/>
    </x:row>
    <x:row r="859">
      <x:c r="A859" s="34" t="n">
        <x:v>46420</x:v>
      </x:c>
      <x:c r="B859" s="40" t="str">
        <x:v>Inteligência Emocional</x:v>
      </x:c>
      <x:c r="C859" s="40" t="str">
        <x:v>57 - ELO 57: a Importância da Espiritualidade nas Dificuldades</x:v>
      </x:c>
      <x:c r="D859" s="40" t="str">
        <x:v>Pdf</x:v>
      </x:c>
      <x:c r="E859" s="40" t="str">
        <x:v>Não iniciado</x:v>
      </x:c>
      <x:c r="F859" s="41" t="str"/>
      <x:c r="G859" s="42" t="str"/>
      <x:c r="H859" s="40" t="str">
        <x:v>Normal</x:v>
      </x:c>
      <x:c r="I859" s="40" t="str">
        <x:f>IF(E859="Concluído","Concluído",IF(A859&lt;TODAY(),"Atrasado",IF(A859=TODAY(),"Hoje","Futuro")))</x:f>
        <x:v>Futuro</x:v>
      </x:c>
      <x:c r="J859" s="43" t="n">
        <x:f>IF(OR(E859="Concluído",A859&gt;=TODAY()),0,TODAY()-A859)</x:f>
        <x:v>0</x:v>
      </x:c>
      <x:c r="K859" s="40" t="str"/>
    </x:row>
    <x:row r="860">
      <x:c r="A860" s="34" t="n">
        <x:v>46421</x:v>
      </x:c>
      <x:c r="B860" s="40" t="str">
        <x:v>Inteligência Emocional</x:v>
      </x:c>
      <x:c r="C860" s="40" t="str">
        <x:v>58 - ELO 58: os Benefícios do Mindfulness para a Aprendizagem</x:v>
      </x:c>
      <x:c r="D860" s="40" t="str">
        <x:v>Pdf</x:v>
      </x:c>
      <x:c r="E860" s="40" t="str">
        <x:v>Não iniciado</x:v>
      </x:c>
      <x:c r="F860" s="41" t="str"/>
      <x:c r="G860" s="42" t="str"/>
      <x:c r="H860" s="40" t="str">
        <x:v>Normal</x:v>
      </x:c>
      <x:c r="I860" s="40" t="str">
        <x:f>IF(E860="Concluído","Concluído",IF(A860&lt;TODAY(),"Atrasado",IF(A860=TODAY(),"Hoje","Futuro")))</x:f>
        <x:v>Futuro</x:v>
      </x:c>
      <x:c r="J860" s="43" t="n">
        <x:f>IF(OR(E860="Concluído",A860&gt;=TODAY()),0,TODAY()-A860)</x:f>
        <x:v>0</x:v>
      </x:c>
      <x:c r="K860" s="40" t="str"/>
    </x:row>
    <x:row r="861">
      <x:c r="A861" s="34" t="n">
        <x:v>46421</x:v>
      </x:c>
      <x:c r="B861" s="40" t="str">
        <x:v>Inteligência Emocional</x:v>
      </x:c>
      <x:c r="C861" s="40" t="str">
        <x:v>59 - ELO 59: o Demônio do Meio-Dia</x:v>
      </x:c>
      <x:c r="D861" s="40" t="str">
        <x:v>Pdf</x:v>
      </x:c>
      <x:c r="E861" s="40" t="str">
        <x:v>Não iniciado</x:v>
      </x:c>
      <x:c r="F861" s="41" t="str"/>
      <x:c r="G861" s="42" t="str"/>
      <x:c r="H861" s="40" t="str">
        <x:v>Normal</x:v>
      </x:c>
      <x:c r="I861" s="40" t="str">
        <x:f>IF(E861="Concluído","Concluído",IF(A861&lt;TODAY(),"Atrasado",IF(A861=TODAY(),"Hoje","Futuro")))</x:f>
        <x:v>Futuro</x:v>
      </x:c>
      <x:c r="J861" s="43" t="n">
        <x:f>IF(OR(E861="Concluído",A861&gt;=TODAY()),0,TODAY()-A861)</x:f>
        <x:v>0</x:v>
      </x:c>
      <x:c r="K861" s="40" t="str"/>
    </x:row>
    <x:row r="862">
      <x:c r="A862" s="34" t="n">
        <x:v>46421</x:v>
      </x:c>
      <x:c r="B862" s="40" t="str">
        <x:v>Inteligência Emocional</x:v>
      </x:c>
      <x:c r="C862" s="40" t="str">
        <x:v>60 - ELO 60: Dezembrite - o Peso Emocional do Fim de Ano</x:v>
      </x:c>
      <x:c r="D862" s="40" t="str">
        <x:v>Pdf</x:v>
      </x:c>
      <x:c r="E862" s="40" t="str">
        <x:v>Não iniciado</x:v>
      </x:c>
      <x:c r="F862" s="41" t="str"/>
      <x:c r="G862" s="42" t="str"/>
      <x:c r="H862" s="40" t="str">
        <x:v>Normal</x:v>
      </x:c>
      <x:c r="I862" s="40" t="str">
        <x:f>IF(E862="Concluído","Concluído",IF(A862&lt;TODAY(),"Atrasado",IF(A862=TODAY(),"Hoje","Futuro")))</x:f>
        <x:v>Futuro</x:v>
      </x:c>
      <x:c r="J862" s="43" t="n">
        <x:f>IF(OR(E862="Concluído",A862&gt;=TODAY()),0,TODAY()-A862)</x:f>
        <x:v>0</x:v>
      </x:c>
      <x:c r="K862" s="40" t="str"/>
    </x:row>
    <x:row r="863">
      <x:c r="A863" s="34" t="n">
        <x:v>46422</x:v>
      </x:c>
      <x:c r="B863" s="40" t="str">
        <x:v>Inteligência Emocional</x:v>
      </x:c>
      <x:c r="C863" s="40" t="str">
        <x:v>60 - ELO 60: Dezembrite - o Peso Emocional do Fim de Ano</x:v>
      </x:c>
      <x:c r="D863" s="40" t="str">
        <x:v>Pdf</x:v>
      </x:c>
      <x:c r="E863" s="40" t="str">
        <x:v>Não iniciado</x:v>
      </x:c>
      <x:c r="F863" s="41" t="str"/>
      <x:c r="G863" s="42" t="str"/>
      <x:c r="H863" s="40" t="str">
        <x:v>Normal</x:v>
      </x:c>
      <x:c r="I863" s="40" t="str">
        <x:f>IF(E863="Concluído","Concluído",IF(A863&lt;TODAY(),"Atrasado",IF(A863=TODAY(),"Hoje","Futuro")))</x:f>
        <x:v>Futuro</x:v>
      </x:c>
      <x:c r="J863" s="43" t="n">
        <x:f>IF(OR(E863="Concluído",A863&gt;=TODAY()),0,TODAY()-A863)</x:f>
        <x:v>0</x:v>
      </x:c>
      <x:c r="K863" s="40" t="str"/>
    </x:row>
    <x:row r="864">
      <x:c r="A864" s="34" t="n">
        <x:v>46422</x:v>
      </x:c>
      <x:c r="B864" s="40" t="str">
        <x:v>Inteligência Emocional</x:v>
      </x:c>
      <x:c r="C864" s="40" t="str">
        <x:v>61 - ELO 61: as Fases do Estresse</x:v>
      </x:c>
      <x:c r="D864" s="40" t="str">
        <x:v>Pdf</x:v>
      </x:c>
      <x:c r="E864" s="40" t="str">
        <x:v>Não iniciado</x:v>
      </x:c>
      <x:c r="F864" s="41" t="str"/>
      <x:c r="G864" s="42" t="str"/>
      <x:c r="H864" s="40" t="str">
        <x:v>Normal</x:v>
      </x:c>
      <x:c r="I864" s="40" t="str">
        <x:f>IF(E864="Concluído","Concluído",IF(A864&lt;TODAY(),"Atrasado",IF(A864=TODAY(),"Hoje","Futuro")))</x:f>
        <x:v>Futuro</x:v>
      </x:c>
      <x:c r="J864" s="43" t="n">
        <x:f>IF(OR(E864="Concluído",A864&gt;=TODAY()),0,TODAY()-A864)</x:f>
        <x:v>0</x:v>
      </x:c>
      <x:c r="K864" s="40" t="str"/>
    </x:row>
    <x:row r="865">
      <x:c r="A865" s="34" t="n">
        <x:v>46422</x:v>
      </x:c>
      <x:c r="B865" s="40" t="str">
        <x:v>Inteligência Emocional</x:v>
      </x:c>
      <x:c r="C865" s="40" t="str">
        <x:v>62 - ELO 62: o Significado Real da Gratidão</x:v>
      </x:c>
      <x:c r="D865" s="40" t="str">
        <x:v>Pdf</x:v>
      </x:c>
      <x:c r="E865" s="40" t="str">
        <x:v>Não iniciado</x:v>
      </x:c>
      <x:c r="F865" s="41" t="str"/>
      <x:c r="G865" s="42" t="str"/>
      <x:c r="H865" s="40" t="str">
        <x:v>Normal</x:v>
      </x:c>
      <x:c r="I865" s="40" t="str">
        <x:f>IF(E865="Concluído","Concluído",IF(A865&lt;TODAY(),"Atrasado",IF(A865=TODAY(),"Hoje","Futuro")))</x:f>
        <x:v>Futuro</x:v>
      </x:c>
      <x:c r="J865" s="43" t="n">
        <x:f>IF(OR(E865="Concluído",A865&gt;=TODAY()),0,TODAY()-A865)</x:f>
        <x:v>0</x:v>
      </x:c>
      <x:c r="K865" s="40" t="str"/>
    </x:row>
    <x:row r="866">
      <x:c r="A866" s="34" t="n">
        <x:v>46423</x:v>
      </x:c>
      <x:c r="B866" s="40" t="str">
        <x:v>Inteligência Emocional</x:v>
      </x:c>
      <x:c r="C866" s="40" t="str">
        <x:v>62 - ELO 62: o Significado Real da Gratidão</x:v>
      </x:c>
      <x:c r="D866" s="40" t="str">
        <x:v>Pdf</x:v>
      </x:c>
      <x:c r="E866" s="40" t="str">
        <x:v>Não iniciado</x:v>
      </x:c>
      <x:c r="F866" s="41" t="str"/>
      <x:c r="G866" s="42" t="str"/>
      <x:c r="H866" s="40" t="str">
        <x:v>Normal</x:v>
      </x:c>
      <x:c r="I866" s="40" t="str">
        <x:f>IF(E866="Concluído","Concluído",IF(A866&lt;TODAY(),"Atrasado",IF(A866=TODAY(),"Hoje","Futuro")))</x:f>
        <x:v>Futuro</x:v>
      </x:c>
      <x:c r="J866" s="43" t="n">
        <x:f>IF(OR(E866="Concluído",A866&gt;=TODAY()),0,TODAY()-A866)</x:f>
        <x:v>0</x:v>
      </x:c>
      <x:c r="K866" s="40" t="str"/>
    </x:row>
    <x:row r="867">
      <x:c r="A867" s="34" t="n">
        <x:v>46423</x:v>
      </x:c>
      <x:c r="B867" s="40" t="str">
        <x:v>Inteligência Emocional</x:v>
      </x:c>
      <x:c r="C867" s="40" t="str">
        <x:v>63 - ELO 63: o que É Inteligência Emocional?</x:v>
      </x:c>
      <x:c r="D867" s="40" t="str">
        <x:v>Pdf</x:v>
      </x:c>
      <x:c r="E867" s="40" t="str">
        <x:v>Não iniciado</x:v>
      </x:c>
      <x:c r="F867" s="41" t="str"/>
      <x:c r="G867" s="42" t="str"/>
      <x:c r="H867" s="40" t="str">
        <x:v>Normal</x:v>
      </x:c>
      <x:c r="I867" s="40" t="str">
        <x:f>IF(E867="Concluído","Concluído",IF(A867&lt;TODAY(),"Atrasado",IF(A867=TODAY(),"Hoje","Futuro")))</x:f>
        <x:v>Futuro</x:v>
      </x:c>
      <x:c r="J867" s="43" t="n">
        <x:f>IF(OR(E867="Concluído",A867&gt;=TODAY()),0,TODAY()-A867)</x:f>
        <x:v>0</x:v>
      </x:c>
      <x:c r="K867" s="40" t="str"/>
    </x:row>
    <x:row r="868">
      <x:c r="A868" s="34" t="n">
        <x:v>46423</x:v>
      </x:c>
      <x:c r="B868" s="40" t="str">
        <x:v>Inteligência Emocional</x:v>
      </x:c>
      <x:c r="C868" s="40" t="str">
        <x:v>64 - ELO 64: a Teoria das Janelas Quebradas</x:v>
      </x:c>
      <x:c r="D868" s="40" t="str">
        <x:v>Pdf</x:v>
      </x:c>
      <x:c r="E868" s="40" t="str">
        <x:v>Não iniciado</x:v>
      </x:c>
      <x:c r="F868" s="41" t="str"/>
      <x:c r="G868" s="42" t="str"/>
      <x:c r="H868" s="40" t="str">
        <x:v>Normal</x:v>
      </x:c>
      <x:c r="I868" s="40" t="str">
        <x:f>IF(E868="Concluído","Concluído",IF(A868&lt;TODAY(),"Atrasado",IF(A868=TODAY(),"Hoje","Futuro")))</x:f>
        <x:v>Futuro</x:v>
      </x:c>
      <x:c r="J868" s="43" t="n">
        <x:f>IF(OR(E868="Concluído",A868&gt;=TODAY()),0,TODAY()-A868)</x:f>
        <x:v>0</x:v>
      </x:c>
      <x:c r="K868" s="40" t="str"/>
    </x:row>
    <x:row r="869">
      <x:c r="A869" s="34" t="n">
        <x:v>46424</x:v>
      </x:c>
      <x:c r="B869" s="40" t="str">
        <x:v>Inteligência Emocional</x:v>
      </x:c>
      <x:c r="C869" s="40" t="str">
        <x:v>65 - ELO 65: Jejum de Cortisol e os Benefícios para Concurseiros</x:v>
      </x:c>
      <x:c r="D869" s="40" t="str">
        <x:v>Pdf</x:v>
      </x:c>
      <x:c r="E869" s="40" t="str">
        <x:v>Não iniciado</x:v>
      </x:c>
      <x:c r="F869" s="41" t="str"/>
      <x:c r="G869" s="42" t="str"/>
      <x:c r="H869" s="40" t="str">
        <x:v>Normal</x:v>
      </x:c>
      <x:c r="I869" s="40" t="str">
        <x:f>IF(E869="Concluído","Concluído",IF(A869&lt;TODAY(),"Atrasado",IF(A869=TODAY(),"Hoje","Futuro")))</x:f>
        <x:v>Futuro</x:v>
      </x:c>
      <x:c r="J869" s="43" t="n">
        <x:f>IF(OR(E869="Concluído",A869&gt;=TODAY()),0,TODAY()-A869)</x:f>
        <x:v>0</x:v>
      </x:c>
      <x:c r="K869" s="40" t="str"/>
    </x:row>
    <x:row r="870">
      <x:c r="A870" s="34" t="n">
        <x:v>46424</x:v>
      </x:c>
      <x:c r="B870" s="40" t="str">
        <x:v>Inteligência Emocional</x:v>
      </x:c>
      <x:c r="C870" s="40" t="str">
        <x:v>66 - ELO 66: o Cansaço e o Concurseiro</x:v>
      </x:c>
      <x:c r="D870" s="40" t="str">
        <x:v>Pdf</x:v>
      </x:c>
      <x:c r="E870" s="40" t="str">
        <x:v>Não iniciado</x:v>
      </x:c>
      <x:c r="F870" s="41" t="str"/>
      <x:c r="G870" s="42" t="str"/>
      <x:c r="H870" s="40" t="str">
        <x:v>Normal</x:v>
      </x:c>
      <x:c r="I870" s="40" t="str">
        <x:f>IF(E870="Concluído","Concluído",IF(A870&lt;TODAY(),"Atrasado",IF(A870=TODAY(),"Hoje","Futuro")))</x:f>
        <x:v>Futuro</x:v>
      </x:c>
      <x:c r="J870" s="43" t="n">
        <x:f>IF(OR(E870="Concluído",A870&gt;=TODAY()),0,TODAY()-A870)</x:f>
        <x:v>0</x:v>
      </x:c>
      <x:c r="K870" s="40" t="str"/>
    </x:row>
    <x:row r="871">
      <x:c r="A871" s="34" t="n">
        <x:v>46424</x:v>
      </x:c>
      <x:c r="B871" s="40" t="str">
        <x:v>Inteligência Emocional</x:v>
      </x:c>
      <x:c r="C871" s="40" t="str">
        <x:v>67 - ELO 67: Brain Rot e o Concurseiro</x:v>
      </x:c>
      <x:c r="D871" s="40" t="str">
        <x:v>Pdf</x:v>
      </x:c>
      <x:c r="E871" s="40" t="str">
        <x:v>Não iniciado</x:v>
      </x:c>
      <x:c r="F871" s="41" t="str"/>
      <x:c r="G871" s="42" t="str"/>
      <x:c r="H871" s="40" t="str">
        <x:v>Normal</x:v>
      </x:c>
      <x:c r="I871" s="40" t="str">
        <x:f>IF(E871="Concluído","Concluído",IF(A871&lt;TODAY(),"Atrasado",IF(A871=TODAY(),"Hoje","Futuro")))</x:f>
        <x:v>Futuro</x:v>
      </x:c>
      <x:c r="J871" s="43" t="n">
        <x:f>IF(OR(E871="Concluído",A871&gt;=TODAY()),0,TODAY()-A871)</x:f>
        <x:v>0</x:v>
      </x:c>
      <x:c r="K871" s="40" t="str"/>
    </x:row>
    <x:row r="872">
      <x:c r="A872" s="34" t="n">
        <x:v>46425</x:v>
      </x:c>
      <x:c r="B872" s="40" t="str">
        <x:v>Inteligência Emocional</x:v>
      </x:c>
      <x:c r="C872" s="40" t="str">
        <x:v>67 - ELO 67: Brain Rot e o Concurseiro</x:v>
      </x:c>
      <x:c r="D872" s="40" t="str">
        <x:v>Pdf</x:v>
      </x:c>
      <x:c r="E872" s="40" t="str">
        <x:v>Não iniciado</x:v>
      </x:c>
      <x:c r="F872" s="41" t="str"/>
      <x:c r="G872" s="42" t="str"/>
      <x:c r="H872" s="40" t="str">
        <x:v>Normal</x:v>
      </x:c>
      <x:c r="I872" s="40" t="str">
        <x:f>IF(E872="Concluído","Concluído",IF(A872&lt;TODAY(),"Atrasado",IF(A872=TODAY(),"Hoje","Futuro")))</x:f>
        <x:v>Futuro</x:v>
      </x:c>
      <x:c r="J872" s="43" t="n">
        <x:f>IF(OR(E872="Concluído",A872&gt;=TODAY()),0,TODAY()-A872)</x:f>
        <x:v>0</x:v>
      </x:c>
      <x:c r="K872" s="40" t="str"/>
    </x:row>
    <x:row r="873">
      <x:c r="A873" s="34" t="n">
        <x:v>46425</x:v>
      </x:c>
      <x:c r="B873" s="40" t="str">
        <x:v>Inteligência Emocional</x:v>
      </x:c>
      <x:c r="C873" s="40" t="str">
        <x:v>68 - ELO 68: O Sono e Estudos</x:v>
      </x:c>
      <x:c r="D873" s="40" t="str">
        <x:v>Pdf</x:v>
      </x:c>
      <x:c r="E873" s="40" t="str">
        <x:v>Não iniciado</x:v>
      </x:c>
      <x:c r="F873" s="41" t="str"/>
      <x:c r="G873" s="42" t="str"/>
      <x:c r="H873" s="40" t="str">
        <x:v>Normal</x:v>
      </x:c>
      <x:c r="I873" s="40" t="str">
        <x:f>IF(E873="Concluído","Concluído",IF(A873&lt;TODAY(),"Atrasado",IF(A873=TODAY(),"Hoje","Futuro")))</x:f>
        <x:v>Futuro</x:v>
      </x:c>
      <x:c r="J873" s="43" t="n">
        <x:f>IF(OR(E873="Concluído",A873&gt;=TODAY()),0,TODAY()-A873)</x:f>
        <x:v>0</x:v>
      </x:c>
      <x:c r="K873" s="40" t="str"/>
    </x:row>
    <x:row r="874">
      <x:c r="A874" s="34" t="n">
        <x:v>46425</x:v>
      </x:c>
      <x:c r="B874" s="40" t="str">
        <x:v>Inteligência Emocional</x:v>
      </x:c>
      <x:c r="C874" s="40" t="str">
        <x:v>69 - ELO 69: A Raiva e o Concurseiro</x:v>
      </x:c>
      <x:c r="D874" s="40" t="str">
        <x:v>Pdf</x:v>
      </x:c>
      <x:c r="E874" s="40" t="str">
        <x:v>Não iniciado</x:v>
      </x:c>
      <x:c r="F874" s="41" t="str"/>
      <x:c r="G874" s="42" t="str"/>
      <x:c r="H874" s="40" t="str">
        <x:v>Normal</x:v>
      </x:c>
      <x:c r="I874" s="40" t="str">
        <x:f>IF(E874="Concluído","Concluído",IF(A874&lt;TODAY(),"Atrasado",IF(A874=TODAY(),"Hoje","Futuro")))</x:f>
        <x:v>Futuro</x:v>
      </x:c>
      <x:c r="J874" s="43" t="n">
        <x:f>IF(OR(E874="Concluído",A874&gt;=TODAY()),0,TODAY()-A874)</x:f>
        <x:v>0</x:v>
      </x:c>
      <x:c r="K874" s="40" t="str"/>
    </x:row>
    <x:row r="875">
      <x:c r="A875" s="34" t="n">
        <x:v>46425</x:v>
      </x:c>
      <x:c r="B875" s="40" t="str">
        <x:v>Inteligência Emocional</x:v>
      </x:c>
      <x:c r="C875" s="40" t="str">
        <x:v>70 - ELO 70: a Crise dos 30 das Concurseiras</x:v>
      </x:c>
      <x:c r="D875" s="40" t="str">
        <x:v>Pdf</x:v>
      </x:c>
      <x:c r="E875" s="40" t="str">
        <x:v>Não iniciado</x:v>
      </x:c>
      <x:c r="F875" s="41" t="str"/>
      <x:c r="G875" s="42" t="str"/>
      <x:c r="H875" s="40" t="str">
        <x:v>Normal</x:v>
      </x:c>
      <x:c r="I875" s="40" t="str">
        <x:f>IF(E875="Concluído","Concluído",IF(A875&lt;TODAY(),"Atrasado",IF(A875=TODAY(),"Hoje","Futuro")))</x:f>
        <x:v>Futuro</x:v>
      </x:c>
      <x:c r="J875" s="43" t="n">
        <x:f>IF(OR(E875="Concluído",A875&gt;=TODAY()),0,TODAY()-A875)</x:f>
        <x:v>0</x:v>
      </x:c>
      <x:c r="K875" s="40" t="str"/>
    </x:row>
    <x:row r="876">
      <x:c r="A876" s="34" t="n">
        <x:v>46425</x:v>
      </x:c>
      <x:c r="B876" s="40" t="str">
        <x:v>Revisão</x:v>
      </x:c>
      <x:c r="C876" s="40" t="str">
        <x:v>Revisão</x:v>
      </x:c>
      <x:c r="D876" s="40" t="str">
        <x:v>Revisao</x:v>
      </x:c>
      <x:c r="E876" s="40" t="str">
        <x:v>Não iniciado</x:v>
      </x:c>
      <x:c r="F876" s="41" t="str"/>
      <x:c r="G876" s="42" t="str"/>
      <x:c r="H876" s="40" t="str">
        <x:v>Normal</x:v>
      </x:c>
      <x:c r="I876" s="40" t="str">
        <x:f>IF(E876="Concluído","Concluído",IF(A876&lt;TODAY(),"Atrasado",IF(A876=TODAY(),"Hoje","Futuro")))</x:f>
        <x:v>Futuro</x:v>
      </x:c>
      <x:c r="J876" s="43" t="n">
        <x:f>IF(OR(E876="Concluído",A876&gt;=TODAY()),0,TODAY()-A876)</x:f>
        <x:v>0</x:v>
      </x:c>
      <x:c r="K876" s="40" t="str"/>
    </x:row>
    <x:row r="877">
      <x:c r="A877" s="34" t="n">
        <x:v>46426</x:v>
      </x:c>
      <x:c r="B877" s="40" t="str">
        <x:v>Inteligência Emocional</x:v>
      </x:c>
      <x:c r="C877" s="40" t="str">
        <x:v>70 - ELO 70: a Crise dos 30 das Concurseiras</x:v>
      </x:c>
      <x:c r="D877" s="40" t="str">
        <x:v>Pdf</x:v>
      </x:c>
      <x:c r="E877" s="40" t="str">
        <x:v>Não iniciado</x:v>
      </x:c>
      <x:c r="F877" s="41" t="str"/>
      <x:c r="G877" s="42" t="str"/>
      <x:c r="H877" s="40" t="str">
        <x:v>Normal</x:v>
      </x:c>
      <x:c r="I877" s="40" t="str">
        <x:f>IF(E877="Concluído","Concluído",IF(A877&lt;TODAY(),"Atrasado",IF(A877=TODAY(),"Hoje","Futuro")))</x:f>
        <x:v>Futuro</x:v>
      </x:c>
      <x:c r="J877" s="43" t="n">
        <x:f>IF(OR(E877="Concluído",A877&gt;=TODAY()),0,TODAY()-A877)</x:f>
        <x:v>0</x:v>
      </x:c>
      <x:c r="K877" s="40" t="str"/>
    </x:row>
    <x:row r="878">
      <x:c r="A878" s="34" t="n">
        <x:v>46426</x:v>
      </x:c>
      <x:c r="B878" s="40" t="str">
        <x:v>Inteligência Emocional</x:v>
      </x:c>
      <x:c r="C878" s="40" t="str">
        <x:v>71 - ELO 71: o Movimento Slow e o Concurseiro</x:v>
      </x:c>
      <x:c r="D878" s="40" t="str">
        <x:v>Pdf</x:v>
      </x:c>
      <x:c r="E878" s="40" t="str">
        <x:v>Não iniciado</x:v>
      </x:c>
      <x:c r="F878" s="41" t="str"/>
      <x:c r="G878" s="42" t="str"/>
      <x:c r="H878" s="40" t="str">
        <x:v>Normal</x:v>
      </x:c>
      <x:c r="I878" s="40" t="str">
        <x:f>IF(E878="Concluído","Concluído",IF(A878&lt;TODAY(),"Atrasado",IF(A878=TODAY(),"Hoje","Futuro")))</x:f>
        <x:v>Futuro</x:v>
      </x:c>
      <x:c r="J878" s="43" t="n">
        <x:f>IF(OR(E878="Concluído",A878&gt;=TODAY()),0,TODAY()-A878)</x:f>
        <x:v>0</x:v>
      </x:c>
      <x:c r="K878" s="40" t="str"/>
    </x:row>
    <x:row r="879">
      <x:c r="A879" s="34" t="n">
        <x:v>46426</x:v>
      </x:c>
      <x:c r="B879" s="40" t="str">
        <x:v>Inteligência Emocional</x:v>
      </x:c>
      <x:c r="C879" s="40" t="str">
        <x:v>72 - ELO 72: a Inteligência Social e o Concurseiro</x:v>
      </x:c>
      <x:c r="D879" s="40" t="str">
        <x:v>Pdf</x:v>
      </x:c>
      <x:c r="E879" s="40" t="str">
        <x:v>Não iniciado</x:v>
      </x:c>
      <x:c r="F879" s="41" t="str"/>
      <x:c r="G879" s="42" t="str"/>
      <x:c r="H879" s="40" t="str">
        <x:v>Normal</x:v>
      </x:c>
      <x:c r="I879" s="40" t="str">
        <x:f>IF(E879="Concluído","Concluído",IF(A879&lt;TODAY(),"Atrasado",IF(A879=TODAY(),"Hoje","Futuro")))</x:f>
        <x:v>Futuro</x:v>
      </x:c>
      <x:c r="J879" s="43" t="n">
        <x:f>IF(OR(E879="Concluído",A879&gt;=TODAY()),0,TODAY()-A879)</x:f>
        <x:v>0</x:v>
      </x:c>
      <x:c r="K879" s="40" t="str"/>
    </x:row>
    <x:row r="880">
      <x:c r="A880" s="34" t="n">
        <x:v>46427</x:v>
      </x:c>
      <x:c r="B880" s="40" t="str">
        <x:v>Inteligência Emocional</x:v>
      </x:c>
      <x:c r="C880" s="40" t="str">
        <x:v>72 - ELO 72: a Inteligência Social e o Concurseiro</x:v>
      </x:c>
      <x:c r="D880" s="40" t="str">
        <x:v>Pdf</x:v>
      </x:c>
      <x:c r="E880" s="40" t="str">
        <x:v>Não iniciado</x:v>
      </x:c>
      <x:c r="F880" s="41" t="str"/>
      <x:c r="G880" s="42" t="str"/>
      <x:c r="H880" s="40" t="str">
        <x:v>Normal</x:v>
      </x:c>
      <x:c r="I880" s="40" t="str">
        <x:f>IF(E880="Concluído","Concluído",IF(A880&lt;TODAY(),"Atrasado",IF(A880=TODAY(),"Hoje","Futuro")))</x:f>
        <x:v>Futuro</x:v>
      </x:c>
      <x:c r="J880" s="43" t="n">
        <x:f>IF(OR(E880="Concluído",A880&gt;=TODAY()),0,TODAY()-A880)</x:f>
        <x:v>0</x:v>
      </x:c>
      <x:c r="K880" s="40" t="str"/>
    </x:row>
    <x:row r="881">
      <x:c r="A881" s="34" t="n">
        <x:v>46427</x:v>
      </x:c>
      <x:c r="B881" s="40" t="str">
        <x:v>Inteligência Emocional</x:v>
      </x:c>
      <x:c r="C881" s="40" t="str">
        <x:v>73 - ELO 73: a carga Cognitiva e seus Efeitos nos Estudos</x:v>
      </x:c>
      <x:c r="D881" s="40" t="str">
        <x:v>Pdf</x:v>
      </x:c>
      <x:c r="E881" s="40" t="str">
        <x:v>Não iniciado</x:v>
      </x:c>
      <x:c r="F881" s="41" t="str"/>
      <x:c r="G881" s="42" t="str"/>
      <x:c r="H881" s="40" t="str">
        <x:v>Normal</x:v>
      </x:c>
      <x:c r="I881" s="40" t="str">
        <x:f>IF(E881="Concluído","Concluído",IF(A881&lt;TODAY(),"Atrasado",IF(A881=TODAY(),"Hoje","Futuro")))</x:f>
        <x:v>Futuro</x:v>
      </x:c>
      <x:c r="J881" s="43" t="n">
        <x:f>IF(OR(E881="Concluído",A881&gt;=TODAY()),0,TODAY()-A881)</x:f>
        <x:v>0</x:v>
      </x:c>
      <x:c r="K881" s="40" t="str"/>
    </x:row>
    <x:row r="882">
      <x:c r="A882" s="34" t="n">
        <x:v>46428</x:v>
      </x:c>
      <x:c r="B882" s="40" t="str">
        <x:v>Inteligência Emocional</x:v>
      </x:c>
      <x:c r="C882" s="40" t="str">
        <x:v>73 - ELO 73: a carga Cognitiva e seus Efeitos nos Estudos</x:v>
      </x:c>
      <x:c r="D882" s="40" t="str">
        <x:v>Pdf</x:v>
      </x:c>
      <x:c r="E882" s="40" t="str">
        <x:v>Não iniciado</x:v>
      </x:c>
      <x:c r="F882" s="41" t="str"/>
      <x:c r="G882" s="42" t="str"/>
      <x:c r="H882" s="40" t="str">
        <x:v>Normal</x:v>
      </x:c>
      <x:c r="I882" s="40" t="str">
        <x:f>IF(E882="Concluído","Concluído",IF(A882&lt;TODAY(),"Atrasado",IF(A882=TODAY(),"Hoje","Futuro")))</x:f>
        <x:v>Futuro</x:v>
      </x:c>
      <x:c r="J882" s="43" t="n">
        <x:f>IF(OR(E882="Concluído",A882&gt;=TODAY()),0,TODAY()-A882)</x:f>
        <x:v>0</x:v>
      </x:c>
      <x:c r="K882" s="40" t="str"/>
    </x:row>
    <x:row r="883">
      <x:c r="A883" s="34" t="n">
        <x:v>46428</x:v>
      </x:c>
      <x:c r="B883" s="40" t="str">
        <x:v>Inteligência Emocional</x:v>
      </x:c>
      <x:c r="C883" s="40" t="str">
        <x:v>74 - ELO 74: como a Infância Será uma Estrada que nos Acompanhará para sempre</x:v>
      </x:c>
      <x:c r="D883" s="40" t="str">
        <x:v>Pdf</x:v>
      </x:c>
      <x:c r="E883" s="40" t="str">
        <x:v>Não iniciado</x:v>
      </x:c>
      <x:c r="F883" s="41" t="str"/>
      <x:c r="G883" s="42" t="str"/>
      <x:c r="H883" s="40" t="str">
        <x:v>Normal</x:v>
      </x:c>
      <x:c r="I883" s="40" t="str">
        <x:f>IF(E883="Concluído","Concluído",IF(A883&lt;TODAY(),"Atrasado",IF(A883=TODAY(),"Hoje","Futuro")))</x:f>
        <x:v>Futuro</x:v>
      </x:c>
      <x:c r="J883" s="43" t="n">
        <x:f>IF(OR(E883="Concluído",A883&gt;=TODAY()),0,TODAY()-A883)</x:f>
        <x:v>0</x:v>
      </x:c>
      <x:c r="K883" s="40" t="str"/>
    </x:row>
    <x:row r="884">
      <x:c r="A884" s="34" t="n">
        <x:v>46428</x:v>
      </x:c>
      <x:c r="B884" s="40" t="str">
        <x:v>Inteligência Emocional</x:v>
      </x:c>
      <x:c r="C884" s="40" t="str">
        <x:v>75 - ELO 75: Características de uma Pessoa com Maturidade Emocional</x:v>
      </x:c>
      <x:c r="D884" s="40" t="str">
        <x:v>Pdf</x:v>
      </x:c>
      <x:c r="E884" s="40" t="str">
        <x:v>Não iniciado</x:v>
      </x:c>
      <x:c r="F884" s="41" t="str"/>
      <x:c r="G884" s="42" t="str"/>
      <x:c r="H884" s="40" t="str">
        <x:v>Normal</x:v>
      </x:c>
      <x:c r="I884" s="40" t="str">
        <x:f>IF(E884="Concluído","Concluído",IF(A884&lt;TODAY(),"Atrasado",IF(A884=TODAY(),"Hoje","Futuro")))</x:f>
        <x:v>Futuro</x:v>
      </x:c>
      <x:c r="J884" s="43" t="n">
        <x:f>IF(OR(E884="Concluído",A884&gt;=TODAY()),0,TODAY()-A884)</x:f>
        <x:v>0</x:v>
      </x:c>
      <x:c r="K884" s="40" t="str"/>
    </x:row>
    <x:row r="885">
      <x:c r="A885" s="34" t="n">
        <x:v>46428</x:v>
      </x:c>
      <x:c r="B885" s="40" t="str">
        <x:v>Inteligência Emocional</x:v>
      </x:c>
      <x:c r="C885" s="40" t="str">
        <x:v>76 - ELO 76: Higiene do Sono e Estudos</x:v>
      </x:c>
      <x:c r="D885" s="40" t="str">
        <x:v>Pdf</x:v>
      </x:c>
      <x:c r="E885" s="40" t="str">
        <x:v>Não iniciado</x:v>
      </x:c>
      <x:c r="F885" s="41" t="str"/>
      <x:c r="G885" s="42" t="str"/>
      <x:c r="H885" s="40" t="str">
        <x:v>Normal</x:v>
      </x:c>
      <x:c r="I885" s="40" t="str">
        <x:f>IF(E885="Concluído","Concluído",IF(A885&lt;TODAY(),"Atrasado",IF(A885=TODAY(),"Hoje","Futuro")))</x:f>
        <x:v>Futuro</x:v>
      </x:c>
      <x:c r="J885" s="43" t="n">
        <x:f>IF(OR(E885="Concluído",A885&gt;=TODAY()),0,TODAY()-A885)</x:f>
        <x:v>0</x:v>
      </x:c>
      <x:c r="K885" s="40" t="str"/>
    </x:row>
    <x:row r="886">
      <x:c r="A886" s="34" t="n">
        <x:v>46429</x:v>
      </x:c>
      <x:c r="B886" s="40" t="str">
        <x:v>Inteligência Emocional</x:v>
      </x:c>
      <x:c r="C886" s="40" t="str">
        <x:v>76 - ELO 76: Higiene do Sono e Estudos</x:v>
      </x:c>
      <x:c r="D886" s="40" t="str">
        <x:v>Pdf</x:v>
      </x:c>
      <x:c r="E886" s="40" t="str">
        <x:v>Não iniciado</x:v>
      </x:c>
      <x:c r="F886" s="41" t="str"/>
      <x:c r="G886" s="42" t="str"/>
      <x:c r="H886" s="40" t="str">
        <x:v>Normal</x:v>
      </x:c>
      <x:c r="I886" s="40" t="str">
        <x:f>IF(E886="Concluído","Concluído",IF(A886&lt;TODAY(),"Atrasado",IF(A886=TODAY(),"Hoje","Futuro")))</x:f>
        <x:v>Futuro</x:v>
      </x:c>
      <x:c r="J886" s="43" t="n">
        <x:f>IF(OR(E886="Concluído",A886&gt;=TODAY()),0,TODAY()-A886)</x:f>
        <x:v>0</x:v>
      </x:c>
      <x:c r="K886" s="40" t="str"/>
    </x:row>
    <x:row r="887">
      <x:c r="A887" s="34" t="n">
        <x:v>46429</x:v>
      </x:c>
      <x:c r="B887" s="40" t="str">
        <x:v>Inteligência Emocional</x:v>
      </x:c>
      <x:c r="C887" s="40" t="str">
        <x:v>77 - ELO 77: O Tropeço também é um Passo</x:v>
      </x:c>
      <x:c r="D887" s="40" t="str">
        <x:v>Pdf</x:v>
      </x:c>
      <x:c r="E887" s="40" t="str">
        <x:v>Não iniciado</x:v>
      </x:c>
      <x:c r="F887" s="41" t="str"/>
      <x:c r="G887" s="42" t="str"/>
      <x:c r="H887" s="40" t="str">
        <x:v>Normal</x:v>
      </x:c>
      <x:c r="I887" s="40" t="str">
        <x:f>IF(E887="Concluído","Concluído",IF(A887&lt;TODAY(),"Atrasado",IF(A887=TODAY(),"Hoje","Futuro")))</x:f>
        <x:v>Futuro</x:v>
      </x:c>
      <x:c r="J887" s="43" t="n">
        <x:f>IF(OR(E887="Concluído",A887&gt;=TODAY()),0,TODAY()-A887)</x:f>
        <x:v>0</x:v>
      </x:c>
      <x:c r="K887" s="40" t="str"/>
    </x:row>
    <x:row r="888">
      <x:c r="A888" s="34" t="n">
        <x:v>46429</x:v>
      </x:c>
      <x:c r="B888" s="40" t="str">
        <x:v>Inteligência Emocional</x:v>
      </x:c>
      <x:c r="C888" s="40" t="str">
        <x:v>78 - ELO 78: Como Estudar Desmotivado</x:v>
      </x:c>
      <x:c r="D888" s="40" t="str">
        <x:v>Pdf</x:v>
      </x:c>
      <x:c r="E888" s="40" t="str">
        <x:v>Não iniciado</x:v>
      </x:c>
      <x:c r="F888" s="41" t="str"/>
      <x:c r="G888" s="42" t="str"/>
      <x:c r="H888" s="40" t="str">
        <x:v>Normal</x:v>
      </x:c>
      <x:c r="I888" s="40" t="str">
        <x:f>IF(E888="Concluído","Concluído",IF(A888&lt;TODAY(),"Atrasado",IF(A888=TODAY(),"Hoje","Futuro")))</x:f>
        <x:v>Futuro</x:v>
      </x:c>
      <x:c r="J888" s="43" t="n">
        <x:f>IF(OR(E888="Concluído",A888&gt;=TODAY()),0,TODAY()-A888)</x:f>
        <x:v>0</x:v>
      </x:c>
      <x:c r="K888" s="40" t="str"/>
    </x:row>
    <x:row r="889">
      <x:c r="A889" s="34" t="n">
        <x:v>46429</x:v>
      </x:c>
      <x:c r="B889" s="40" t="str">
        <x:v>Inteligência Emocional</x:v>
      </x:c>
      <x:c r="C889" s="40" t="str">
        <x:v>79 - ELO 79: TDAH e Aprendizagem</x:v>
      </x:c>
      <x:c r="D889" s="40" t="str">
        <x:v>Pdf</x:v>
      </x:c>
      <x:c r="E889" s="40" t="str">
        <x:v>Não iniciado</x:v>
      </x:c>
      <x:c r="F889" s="41" t="str"/>
      <x:c r="G889" s="42" t="str"/>
      <x:c r="H889" s="40" t="str">
        <x:v>Normal</x:v>
      </x:c>
      <x:c r="I889" s="40" t="str">
        <x:f>IF(E889="Concluído","Concluído",IF(A889&lt;TODAY(),"Atrasado",IF(A889=TODAY(),"Hoje","Futuro")))</x:f>
        <x:v>Futuro</x:v>
      </x:c>
      <x:c r="J889" s="43" t="n">
        <x:f>IF(OR(E889="Concluído",A889&gt;=TODAY()),0,TODAY()-A889)</x:f>
        <x:v>0</x:v>
      </x:c>
      <x:c r="K889" s="40" t="str"/>
    </x:row>
    <x:row r="890">
      <x:c r="A890" s="34" t="n">
        <x:v>46430</x:v>
      </x:c>
      <x:c r="B890" s="40" t="str">
        <x:v>Inteligência Emocional</x:v>
      </x:c>
      <x:c r="C890" s="40" t="str">
        <x:v>79 - ELO 79: TDAH e Aprendizagem</x:v>
      </x:c>
      <x:c r="D890" s="40" t="str">
        <x:v>Pdf</x:v>
      </x:c>
      <x:c r="E890" s="40" t="str">
        <x:v>Não iniciado</x:v>
      </x:c>
      <x:c r="F890" s="41" t="str"/>
      <x:c r="G890" s="42" t="str"/>
      <x:c r="H890" s="40" t="str">
        <x:v>Normal</x:v>
      </x:c>
      <x:c r="I890" s="40" t="str">
        <x:f>IF(E890="Concluído","Concluído",IF(A890&lt;TODAY(),"Atrasado",IF(A890=TODAY(),"Hoje","Futuro")))</x:f>
        <x:v>Futuro</x:v>
      </x:c>
      <x:c r="J890" s="43" t="n">
        <x:f>IF(OR(E890="Concluído",A890&gt;=TODAY()),0,TODAY()-A890)</x:f>
        <x:v>0</x:v>
      </x:c>
      <x:c r="K890" s="40" t="str"/>
    </x:row>
    <x:row r="891">
      <x:c r="A891" s="34" t="n">
        <x:v>46430</x:v>
      </x:c>
      <x:c r="B891" s="40" t="str">
        <x:v>Inteligência Emocional</x:v>
      </x:c>
      <x:c r="C891" s="40" t="str">
        <x:v>80 - ELO 80: Adultização de Crianças: Aspectos Psicológicos</x:v>
      </x:c>
      <x:c r="D891" s="40" t="str">
        <x:v>Pdf</x:v>
      </x:c>
      <x:c r="E891" s="40" t="str">
        <x:v>Não iniciado</x:v>
      </x:c>
      <x:c r="F891" s="41" t="str"/>
      <x:c r="G891" s="42" t="str"/>
      <x:c r="H891" s="40" t="str">
        <x:v>Normal</x:v>
      </x:c>
      <x:c r="I891" s="40" t="str">
        <x:f>IF(E891="Concluído","Concluído",IF(A891&lt;TODAY(),"Atrasado",IF(A891=TODAY(),"Hoje","Futuro")))</x:f>
        <x:v>Futuro</x:v>
      </x:c>
      <x:c r="J891" s="43" t="n">
        <x:f>IF(OR(E891="Concluído",A891&gt;=TODAY()),0,TODAY()-A891)</x:f>
        <x:v>0</x:v>
      </x:c>
      <x:c r="K891" s="40" t="str"/>
    </x:row>
    <x:row r="892">
      <x:c r="A892" s="34" t="n">
        <x:v>46430</x:v>
      </x:c>
      <x:c r="B892" s="40" t="str">
        <x:v>Inteligência Emocional</x:v>
      </x:c>
      <x:c r="C892" s="40" t="str">
        <x:v>81 - ELO 81: Setembro Amarelo e o Concurseiro</x:v>
      </x:c>
      <x:c r="D892" s="40" t="str">
        <x:v>Pdf</x:v>
      </x:c>
      <x:c r="E892" s="40" t="str">
        <x:v>Não iniciado</x:v>
      </x:c>
      <x:c r="F892" s="41" t="str"/>
      <x:c r="G892" s="42" t="str"/>
      <x:c r="H892" s="40" t="str">
        <x:v>Normal</x:v>
      </x:c>
      <x:c r="I892" s="40" t="str">
        <x:f>IF(E892="Concluído","Concluído",IF(A892&lt;TODAY(),"Atrasado",IF(A892=TODAY(),"Hoje","Futuro")))</x:f>
        <x:v>Futuro</x:v>
      </x:c>
      <x:c r="J892" s="43" t="n">
        <x:f>IF(OR(E892="Concluído",A892&gt;=TODAY()),0,TODAY()-A892)</x:f>
        <x:v>0</x:v>
      </x:c>
      <x:c r="K892" s="40" t="str"/>
    </x:row>
    <x:row r="893">
      <x:c r="A893" s="34" t="n">
        <x:v>46431</x:v>
      </x:c>
      <x:c r="B893" s="40" t="str">
        <x:v>Inteligência Emocional</x:v>
      </x:c>
      <x:c r="C893" s="40" t="str">
        <x:v>82 - ELO 82: As Melhores Técnicas para Aumentar a sua Autoestima</x:v>
      </x:c>
      <x:c r="D893" s="40" t="str">
        <x:v>Pdf</x:v>
      </x:c>
      <x:c r="E893" s="40" t="str">
        <x:v>Não iniciado</x:v>
      </x:c>
      <x:c r="F893" s="41" t="str"/>
      <x:c r="G893" s="42" t="str"/>
      <x:c r="H893" s="40" t="str">
        <x:v>Normal</x:v>
      </x:c>
      <x:c r="I893" s="40" t="str">
        <x:f>IF(E893="Concluído","Concluído",IF(A893&lt;TODAY(),"Atrasado",IF(A893=TODAY(),"Hoje","Futuro")))</x:f>
        <x:v>Futuro</x:v>
      </x:c>
      <x:c r="J893" s="43" t="n">
        <x:f>IF(OR(E893="Concluído",A893&gt;=TODAY()),0,TODAY()-A893)</x:f>
        <x:v>0</x:v>
      </x:c>
      <x:c r="K893" s="40" t="str"/>
    </x:row>
    <x:row r="894">
      <x:c r="A894" s="34" t="n">
        <x:v>46431</x:v>
      </x:c>
      <x:c r="B894" s="40" t="str">
        <x:v>Inteligência Emocional</x:v>
      </x:c>
      <x:c r="C894" s="40" t="str">
        <x:v>83 - ELO 83: O Concurseiro e a Família Tóxica</x:v>
      </x:c>
      <x:c r="D894" s="40" t="str">
        <x:v>Pdf</x:v>
      </x:c>
      <x:c r="E894" s="40" t="str">
        <x:v>Não iniciado</x:v>
      </x:c>
      <x:c r="F894" s="41" t="str"/>
      <x:c r="G894" s="42" t="str"/>
      <x:c r="H894" s="40" t="str">
        <x:v>Normal</x:v>
      </x:c>
      <x:c r="I894" s="40" t="str">
        <x:f>IF(E894="Concluído","Concluído",IF(A894&lt;TODAY(),"Atrasado",IF(A894=TODAY(),"Hoje","Futuro")))</x:f>
        <x:v>Futuro</x:v>
      </x:c>
      <x:c r="J894" s="43" t="n">
        <x:f>IF(OR(E894="Concluído",A894&gt;=TODAY()),0,TODAY()-A894)</x:f>
        <x:v>0</x:v>
      </x:c>
      <x:c r="K894" s="40" t="str"/>
    </x:row>
    <x:row r="895">
      <x:c r="A895" s="34" t="n">
        <x:v>46431</x:v>
      </x:c>
      <x:c r="B895" s="40" t="str">
        <x:v>Inteligência Emocional</x:v>
      </x:c>
      <x:c r="C895" s="40" t="str">
        <x:v>84 - ELO 84: O Poder da Resiliência</x:v>
      </x:c>
      <x:c r="D895" s="40" t="str">
        <x:v>Pdf</x:v>
      </x:c>
      <x:c r="E895" s="40" t="str">
        <x:v>Não iniciado</x:v>
      </x:c>
      <x:c r="F895" s="41" t="str"/>
      <x:c r="G895" s="42" t="str"/>
      <x:c r="H895" s="40" t="str">
        <x:v>Normal</x:v>
      </x:c>
      <x:c r="I895" s="40" t="str">
        <x:f>IF(E895="Concluído","Concluído",IF(A895&lt;TODAY(),"Atrasado",IF(A895=TODAY(),"Hoje","Futuro")))</x:f>
        <x:v>Futuro</x:v>
      </x:c>
      <x:c r="J895" s="43" t="n">
        <x:f>IF(OR(E895="Concluído",A895&gt;=TODAY()),0,TODAY()-A895)</x:f>
        <x:v>0</x:v>
      </x:c>
      <x:c r="K895" s="40" t="str"/>
    </x:row>
    <x:row r="896">
      <x:c r="A896" s="34" t="n">
        <x:v>46432</x:v>
      </x:c>
      <x:c r="B896" s="40" t="str">
        <x:v>Inteligência Emocional</x:v>
      </x:c>
      <x:c r="C896" s="40" t="str">
        <x:v>84 - ELO 84: O Poder da Resiliência</x:v>
      </x:c>
      <x:c r="D896" s="40" t="str">
        <x:v>Pdf</x:v>
      </x:c>
      <x:c r="E896" s="40" t="str">
        <x:v>Não iniciado</x:v>
      </x:c>
      <x:c r="F896" s="41" t="str"/>
      <x:c r="G896" s="42" t="str"/>
      <x:c r="H896" s="40" t="str">
        <x:v>Normal</x:v>
      </x:c>
      <x:c r="I896" s="40" t="str">
        <x:f>IF(E896="Concluído","Concluído",IF(A896&lt;TODAY(),"Atrasado",IF(A896=TODAY(),"Hoje","Futuro")))</x:f>
        <x:v>Futuro</x:v>
      </x:c>
      <x:c r="J896" s="43" t="n">
        <x:f>IF(OR(E896="Concluído",A896&gt;=TODAY()),0,TODAY()-A896)</x:f>
        <x:v>0</x:v>
      </x:c>
      <x:c r="K896" s="40" t="str"/>
    </x:row>
    <x:row r="897">
      <x:c r="A897" s="34" t="n">
        <x:v>46432</x:v>
      </x:c>
      <x:c r="B897" s="40" t="str">
        <x:v>Inteligência Emocional</x:v>
      </x:c>
      <x:c r="C897" s="40" t="str">
        <x:v>85 - ELO 85: O Poder de ser Antifrágil</x:v>
      </x:c>
      <x:c r="D897" s="40" t="str">
        <x:v>Pdf</x:v>
      </x:c>
      <x:c r="E897" s="40" t="str">
        <x:v>Não iniciado</x:v>
      </x:c>
      <x:c r="F897" s="41" t="str"/>
      <x:c r="G897" s="42" t="str"/>
      <x:c r="H897" s="40" t="str">
        <x:v>Normal</x:v>
      </x:c>
      <x:c r="I897" s="40" t="str">
        <x:f>IF(E897="Concluído","Concluído",IF(A897&lt;TODAY(),"Atrasado",IF(A897=TODAY(),"Hoje","Futuro")))</x:f>
        <x:v>Futuro</x:v>
      </x:c>
      <x:c r="J897" s="43" t="n">
        <x:f>IF(OR(E897="Concluído",A897&gt;=TODAY()),0,TODAY()-A897)</x:f>
        <x:v>0</x:v>
      </x:c>
      <x:c r="K897" s="40" t="str"/>
    </x:row>
    <x:row r="898">
      <x:c r="A898" s="34" t="n">
        <x:v>46432</x:v>
      </x:c>
      <x:c r="B898" s="40" t="str">
        <x:v>Inteligência Emocional</x:v>
      </x:c>
      <x:c r="C898" s="40" t="str">
        <x:v>86 - ELO 86: O Umbiguismo</x:v>
      </x:c>
      <x:c r="D898" s="40" t="str">
        <x:v>Pdf</x:v>
      </x:c>
      <x:c r="E898" s="40" t="str">
        <x:v>Não iniciado</x:v>
      </x:c>
      <x:c r="F898" s="41" t="str"/>
      <x:c r="G898" s="42" t="str"/>
      <x:c r="H898" s="40" t="str">
        <x:v>Normal</x:v>
      </x:c>
      <x:c r="I898" s="40" t="str">
        <x:f>IF(E898="Concluído","Concluído",IF(A898&lt;TODAY(),"Atrasado",IF(A898=TODAY(),"Hoje","Futuro")))</x:f>
        <x:v>Futuro</x:v>
      </x:c>
      <x:c r="J898" s="43" t="n">
        <x:f>IF(OR(E898="Concluído",A898&gt;=TODAY()),0,TODAY()-A898)</x:f>
        <x:v>0</x:v>
      </x:c>
      <x:c r="K898" s="40" t="str"/>
    </x:row>
    <x:row r="899">
      <x:c r="A899" s="34" t="n">
        <x:v>46432</x:v>
      </x:c>
      <x:c r="B899" s="40" t="str">
        <x:v>Inteligência Emocional</x:v>
      </x:c>
      <x:c r="C899" s="40" t="str">
        <x:v>87 - ELO 87: O Silêncio Vale Ouro</x:v>
      </x:c>
      <x:c r="D899" s="40" t="str">
        <x:v>Pdf</x:v>
      </x:c>
      <x:c r="E899" s="40" t="str">
        <x:v>Não iniciado</x:v>
      </x:c>
      <x:c r="F899" s="41" t="str"/>
      <x:c r="G899" s="42" t="str"/>
      <x:c r="H899" s="40" t="str">
        <x:v>Normal</x:v>
      </x:c>
      <x:c r="I899" s="40" t="str">
        <x:f>IF(E899="Concluído","Concluído",IF(A899&lt;TODAY(),"Atrasado",IF(A899=TODAY(),"Hoje","Futuro")))</x:f>
        <x:v>Futuro</x:v>
      </x:c>
      <x:c r="J899" s="43" t="n">
        <x:f>IF(OR(E899="Concluído",A899&gt;=TODAY()),0,TODAY()-A899)</x:f>
        <x:v>0</x:v>
      </x:c>
      <x:c r="K899" s="40" t="str"/>
    </x:row>
    <x:row r="900">
      <x:c r="A900" s="34" t="n">
        <x:v>46432</x:v>
      </x:c>
      <x:c r="B900" s="40" t="str">
        <x:v>Revisão</x:v>
      </x:c>
      <x:c r="C900" s="40" t="str">
        <x:v>Revisão</x:v>
      </x:c>
      <x:c r="D900" s="40" t="str">
        <x:v>Revisao</x:v>
      </x:c>
      <x:c r="E900" s="40" t="str">
        <x:v>Não iniciado</x:v>
      </x:c>
      <x:c r="F900" s="41" t="str"/>
      <x:c r="G900" s="42" t="str"/>
      <x:c r="H900" s="40" t="str">
        <x:v>Normal</x:v>
      </x:c>
      <x:c r="I900" s="40" t="str">
        <x:f>IF(E900="Concluído","Concluído",IF(A900&lt;TODAY(),"Atrasado",IF(A900=TODAY(),"Hoje","Futuro")))</x:f>
        <x:v>Futuro</x:v>
      </x:c>
      <x:c r="J900" s="43" t="n">
        <x:f>IF(OR(E900="Concluído",A900&gt;=TODAY()),0,TODAY()-A900)</x:f>
        <x:v>0</x:v>
      </x:c>
      <x:c r="K900" s="40" t="str"/>
    </x:row>
    <x:row r="901">
      <x:c r="A901" s="34" t="n">
        <x:v>46433</x:v>
      </x:c>
      <x:c r="B901" s="40" t="str">
        <x:v>Inteligência Emocional</x:v>
      </x:c>
      <x:c r="C901" s="40" t="str">
        <x:v>87 - ELO 87: O Silêncio Vale Ouro</x:v>
      </x:c>
      <x:c r="D901" s="40" t="str">
        <x:v>Pdf</x:v>
      </x:c>
      <x:c r="E901" s="40" t="str">
        <x:v>Não iniciado</x:v>
      </x:c>
      <x:c r="F901" s="41" t="str"/>
      <x:c r="G901" s="42" t="str"/>
      <x:c r="H901" s="40" t="str">
        <x:v>Normal</x:v>
      </x:c>
      <x:c r="I901" s="40" t="str">
        <x:f>IF(E901="Concluído","Concluído",IF(A901&lt;TODAY(),"Atrasado",IF(A901=TODAY(),"Hoje","Futuro")))</x:f>
        <x:v>Futuro</x:v>
      </x:c>
      <x:c r="J901" s="43" t="n">
        <x:f>IF(OR(E901="Concluído",A901&gt;=TODAY()),0,TODAY()-A901)</x:f>
        <x:v>0</x:v>
      </x:c>
      <x:c r="K901" s="40" t="str"/>
    </x:row>
    <x:row r="902">
      <x:c r="A902" s="34" t="n">
        <x:v>46433</x:v>
      </x:c>
      <x:c r="B902" s="40" t="str">
        <x:v>Inteligência Emocional</x:v>
      </x:c>
      <x:c r="C902" s="40" t="str">
        <x:v>88 - ELO 88: A Solidão do Concurseiro</x:v>
      </x:c>
      <x:c r="D902" s="40" t="str">
        <x:v>Pdf</x:v>
      </x:c>
      <x:c r="E902" s="40" t="str">
        <x:v>Não iniciado</x:v>
      </x:c>
      <x:c r="F902" s="41" t="str"/>
      <x:c r="G902" s="42" t="str"/>
      <x:c r="H902" s="40" t="str">
        <x:v>Normal</x:v>
      </x:c>
      <x:c r="I902" s="40" t="str">
        <x:f>IF(E902="Concluído","Concluído",IF(A902&lt;TODAY(),"Atrasado",IF(A902=TODAY(),"Hoje","Futuro")))</x:f>
        <x:v>Futuro</x:v>
      </x:c>
      <x:c r="J902" s="43" t="n">
        <x:f>IF(OR(E902="Concluído",A902&gt;=TODAY()),0,TODAY()-A902)</x:f>
        <x:v>0</x:v>
      </x:c>
      <x:c r="K902" s="40" t="str"/>
    </x:row>
    <x:row r="903">
      <x:c r="A903" s="34" t="n">
        <x:v>46434</x:v>
      </x:c>
      <x:c r="B903" s="40" t="str">
        <x:v>Inteligência Emocional</x:v>
      </x:c>
      <x:c r="C903" s="40" t="str">
        <x:v>88 - ELO 88: A Solidão do Concurseiro</x:v>
      </x:c>
      <x:c r="D903" s="40" t="str">
        <x:v>Pdf</x:v>
      </x:c>
      <x:c r="E903" s="40" t="str">
        <x:v>Não iniciado</x:v>
      </x:c>
      <x:c r="F903" s="41" t="str"/>
      <x:c r="G903" s="42" t="str"/>
      <x:c r="H903" s="40" t="str">
        <x:v>Normal</x:v>
      </x:c>
      <x:c r="I903" s="40" t="str">
        <x:f>IF(E903="Concluído","Concluído",IF(A903&lt;TODAY(),"Atrasado",IF(A903=TODAY(),"Hoje","Futuro")))</x:f>
        <x:v>Futuro</x:v>
      </x:c>
      <x:c r="J903" s="43" t="n">
        <x:f>IF(OR(E903="Concluído",A903&gt;=TODAY()),0,TODAY()-A903)</x:f>
        <x:v>0</x:v>
      </x:c>
      <x:c r="K903" s="40" t="str"/>
    </x:row>
    <x:row r="904">
      <x:c r="A904" s="34" t="n">
        <x:v>46434</x:v>
      </x:c>
      <x:c r="B904" s="40" t="str">
        <x:v>Inteligência Emocional</x:v>
      </x:c>
      <x:c r="C904" s="40" t="str">
        <x:v>89 - ELO 89: Quando o Seu Ego Grita</x:v>
      </x:c>
      <x:c r="D904" s="40" t="str">
        <x:v>Pdf</x:v>
      </x:c>
      <x:c r="E904" s="40" t="str">
        <x:v>Não iniciado</x:v>
      </x:c>
      <x:c r="F904" s="41" t="str"/>
      <x:c r="G904" s="42" t="str"/>
      <x:c r="H904" s="40" t="str">
        <x:v>Normal</x:v>
      </x:c>
      <x:c r="I904" s="40" t="str">
        <x:f>IF(E904="Concluído","Concluído",IF(A904&lt;TODAY(),"Atrasado",IF(A904=TODAY(),"Hoje","Futuro")))</x:f>
        <x:v>Futuro</x:v>
      </x:c>
      <x:c r="J904" s="43" t="n">
        <x:f>IF(OR(E904="Concluído",A904&gt;=TODAY()),0,TODAY()-A904)</x:f>
        <x:v>0</x:v>
      </x:c>
      <x:c r="K904" s="40" t="str"/>
    </x:row>
    <x:row r="905">
      <x:c r="A905" s="34" t="n">
        <x:v>46434</x:v>
      </x:c>
      <x:c r="B905" s="40" t="str">
        <x:v>Inteligência Emocional</x:v>
      </x:c>
      <x:c r="C905" s="40" t="str">
        <x:v>90 - ELO 90: Os Principais Mecanismos de Defesa do Concurseiro</x:v>
      </x:c>
      <x:c r="D905" s="40" t="str">
        <x:v>Pdf</x:v>
      </x:c>
      <x:c r="E905" s="40" t="str">
        <x:v>Não iniciado</x:v>
      </x:c>
      <x:c r="F905" s="41" t="str"/>
      <x:c r="G905" s="42" t="str"/>
      <x:c r="H905" s="40" t="str">
        <x:v>Normal</x:v>
      </x:c>
      <x:c r="I905" s="40" t="str">
        <x:f>IF(E905="Concluído","Concluído",IF(A905&lt;TODAY(),"Atrasado",IF(A905=TODAY(),"Hoje","Futuro")))</x:f>
        <x:v>Futuro</x:v>
      </x:c>
      <x:c r="J905" s="43" t="n">
        <x:f>IF(OR(E905="Concluído",A905&gt;=TODAY()),0,TODAY()-A905)</x:f>
        <x:v>0</x:v>
      </x:c>
      <x:c r="K905" s="40" t="str"/>
    </x:row>
    <x:row r="906">
      <x:c r="A906" s="34" t="n">
        <x:v>46435</x:v>
      </x:c>
      <x:c r="B906" s="40" t="str">
        <x:v>Inteligência Emocional</x:v>
      </x:c>
      <x:c r="C906" s="40" t="str">
        <x:v>90 - ELO 90: Os Principais Mecanismos de Defesa do Concurseiro</x:v>
      </x:c>
      <x:c r="D906" s="40" t="str">
        <x:v>Pdf</x:v>
      </x:c>
      <x:c r="E906" s="40" t="str">
        <x:v>Não iniciado</x:v>
      </x:c>
      <x:c r="F906" s="41" t="str"/>
      <x:c r="G906" s="42" t="str"/>
      <x:c r="H906" s="40" t="str">
        <x:v>Normal</x:v>
      </x:c>
      <x:c r="I906" s="40" t="str">
        <x:f>IF(E906="Concluído","Concluído",IF(A906&lt;TODAY(),"Atrasado",IF(A906=TODAY(),"Hoje","Futuro")))</x:f>
        <x:v>Futuro</x:v>
      </x:c>
      <x:c r="J906" s="43" t="n">
        <x:f>IF(OR(E906="Concluído",A906&gt;=TODAY()),0,TODAY()-A906)</x:f>
        <x:v>0</x:v>
      </x:c>
      <x:c r="K906" s="40" t="str"/>
    </x:row>
    <x:row r="907">
      <x:c r="A907" s="34" t="n">
        <x:v>46435</x:v>
      </x:c>
      <x:c r="B907" s="40" t="str">
        <x:v>Inteligência Emocional</x:v>
      </x:c>
      <x:c r="C907" s="40" t="str">
        <x:v>91 - ELO 91:O Efeito Pigmaleão e o Concurseiro</x:v>
      </x:c>
      <x:c r="D907" s="40" t="str">
        <x:v>Pdf</x:v>
      </x:c>
      <x:c r="E907" s="40" t="str">
        <x:v>Não iniciado</x:v>
      </x:c>
      <x:c r="F907" s="41" t="str"/>
      <x:c r="G907" s="42" t="str"/>
      <x:c r="H907" s="40" t="str">
        <x:v>Normal</x:v>
      </x:c>
      <x:c r="I907" s="40" t="str">
        <x:f>IF(E907="Concluído","Concluído",IF(A907&lt;TODAY(),"Atrasado",IF(A907=TODAY(),"Hoje","Futuro")))</x:f>
        <x:v>Futuro</x:v>
      </x:c>
      <x:c r="J907" s="43" t="n">
        <x:f>IF(OR(E907="Concluído",A907&gt;=TODAY()),0,TODAY()-A907)</x:f>
        <x:v>0</x:v>
      </x:c>
      <x:c r="K907" s="40" t="str"/>
    </x:row>
    <x:row r="908">
      <x:c r="A908" s="34" t="n">
        <x:v>46435</x:v>
      </x:c>
      <x:c r="B908" s="40" t="str">
        <x:v>Inteligência Emocional</x:v>
      </x:c>
      <x:c r="C908" s="40" t="str">
        <x:v>92 - ELO 92: O Mito do Normal e o Concurseiro</x:v>
      </x:c>
      <x:c r="D908" s="40" t="str">
        <x:v>Pdf</x:v>
      </x:c>
      <x:c r="E908" s="40" t="str">
        <x:v>Não iniciado</x:v>
      </x:c>
      <x:c r="F908" s="41" t="str"/>
      <x:c r="G908" s="42" t="str"/>
      <x:c r="H908" s="40" t="str">
        <x:v>Normal</x:v>
      </x:c>
      <x:c r="I908" s="40" t="str">
        <x:f>IF(E908="Concluído","Concluído",IF(A908&lt;TODAY(),"Atrasado",IF(A908=TODAY(),"Hoje","Futuro")))</x:f>
        <x:v>Futuro</x:v>
      </x:c>
      <x:c r="J908" s="43" t="n">
        <x:f>IF(OR(E908="Concluído",A908&gt;=TODAY()),0,TODAY()-A908)</x:f>
        <x:v>0</x:v>
      </x:c>
      <x:c r="K908" s="40" t="str"/>
    </x:row>
    <x:row r="909">
      <x:c r="A909" s="34" t="n">
        <x:v>46435</x:v>
      </x:c>
      <x:c r="B909" s="40" t="str">
        <x:v>Inteligência Emocional</x:v>
      </x:c>
      <x:c r="C909" s="40" t="str">
        <x:v>93 - ELO 93: O Romo e o Concurseiro</x:v>
      </x:c>
      <x:c r="D909" s="40" t="str">
        <x:v>Pdf</x:v>
      </x:c>
      <x:c r="E909" s="40" t="str">
        <x:v>Não iniciado</x:v>
      </x:c>
      <x:c r="F909" s="41" t="str"/>
      <x:c r="G909" s="42" t="str"/>
      <x:c r="H909" s="40" t="str">
        <x:v>Normal</x:v>
      </x:c>
      <x:c r="I909" s="40" t="str">
        <x:f>IF(E909="Concluído","Concluído",IF(A909&lt;TODAY(),"Atrasado",IF(A909=TODAY(),"Hoje","Futuro")))</x:f>
        <x:v>Futuro</x:v>
      </x:c>
      <x:c r="J909" s="43" t="n">
        <x:f>IF(OR(E909="Concluído",A909&gt;=TODAY()),0,TODAY()-A909)</x:f>
        <x:v>0</x:v>
      </x:c>
      <x:c r="K909" s="40" t="str"/>
    </x:row>
    <x:row r="910">
      <x:c r="A910" s="34" t="n">
        <x:v>46436</x:v>
      </x:c>
      <x:c r="B910" s="40" t="str">
        <x:v>Inteligência Emocional</x:v>
      </x:c>
      <x:c r="C910" s="40" t="str">
        <x:v>93 - ELO 93: O Romo e o Concurseiro</x:v>
      </x:c>
      <x:c r="D910" s="40" t="str">
        <x:v>Pdf</x:v>
      </x:c>
      <x:c r="E910" s="40" t="str">
        <x:v>Não iniciado</x:v>
      </x:c>
      <x:c r="F910" s="41" t="str"/>
      <x:c r="G910" s="42" t="str"/>
      <x:c r="H910" s="40" t="str">
        <x:v>Normal</x:v>
      </x:c>
      <x:c r="I910" s="40" t="str">
        <x:f>IF(E910="Concluído","Concluído",IF(A910&lt;TODAY(),"Atrasado",IF(A910=TODAY(),"Hoje","Futuro")))</x:f>
        <x:v>Futuro</x:v>
      </x:c>
      <x:c r="J910" s="43" t="n">
        <x:f>IF(OR(E910="Concluído",A910&gt;=TODAY()),0,TODAY()-A910)</x:f>
        <x:v>0</x:v>
      </x:c>
      <x:c r="K910" s="40" t="str"/>
    </x:row>
    <x:row r="911">
      <x:c r="A911" s="34" t="n">
        <x:v>46436</x:v>
      </x:c>
      <x:c r="B911" s="40" t="str">
        <x:v>Inteligência Emocional</x:v>
      </x:c>
      <x:c r="C911" s="40" t="str">
        <x:v>94 - ELO 94: Como Fechar Ciclos</x:v>
      </x:c>
      <x:c r="D911" s="40" t="str">
        <x:v>Pdf</x:v>
      </x:c>
      <x:c r="E911" s="40" t="str">
        <x:v>Não iniciado</x:v>
      </x:c>
      <x:c r="F911" s="41" t="str"/>
      <x:c r="G911" s="42" t="str"/>
      <x:c r="H911" s="40" t="str">
        <x:v>Normal</x:v>
      </x:c>
      <x:c r="I911" s="40" t="str">
        <x:f>IF(E911="Concluído","Concluído",IF(A911&lt;TODAY(),"Atrasado",IF(A911=TODAY(),"Hoje","Futuro")))</x:f>
        <x:v>Futuro</x:v>
      </x:c>
      <x:c r="J911" s="43" t="n">
        <x:f>IF(OR(E911="Concluído",A911&gt;=TODAY()),0,TODAY()-A911)</x:f>
        <x:v>0</x:v>
      </x:c>
      <x:c r="K911" s="40" t="str"/>
    </x:row>
    <x:row r="912">
      <x:c r="A912" s="34" t="n">
        <x:v>46436</x:v>
      </x:c>
      <x:c r="B912" s="40" t="str">
        <x:v>Inteligência Emocional</x:v>
      </x:c>
      <x:c r="C912" s="40" t="str">
        <x:v>95 - ELO 95: Saindo Da Negação</x:v>
      </x:c>
      <x:c r="D912" s="40" t="str">
        <x:v>Pdf</x:v>
      </x:c>
      <x:c r="E912" s="40" t="str">
        <x:v>Não iniciado</x:v>
      </x:c>
      <x:c r="F912" s="41" t="str"/>
      <x:c r="G912" s="42" t="str"/>
      <x:c r="H912" s="40" t="str">
        <x:v>Normal</x:v>
      </x:c>
      <x:c r="I912" s="40" t="str">
        <x:f>IF(E912="Concluído","Concluído",IF(A912&lt;TODAY(),"Atrasado",IF(A912=TODAY(),"Hoje","Futuro")))</x:f>
        <x:v>Futuro</x:v>
      </x:c>
      <x:c r="J912" s="43" t="n">
        <x:f>IF(OR(E912="Concluído",A912&gt;=TODAY()),0,TODAY()-A912)</x:f>
        <x:v>0</x:v>
      </x:c>
      <x:c r="K912" s="40" t="str"/>
    </x:row>
    <x:row r="913">
      <x:c r="A913" s="34" t="n">
        <x:v>46436</x:v>
      </x:c>
      <x:c r="B913" s="40" t="str">
        <x:v>Inteligência Emocional</x:v>
      </x:c>
      <x:c r="C913" s="40" t="str">
        <x:v>96 - ELO 96: A Sensação do Tempo Correndo e o Concurseiro</x:v>
      </x:c>
      <x:c r="D913" s="40" t="str">
        <x:v>Pdf</x:v>
      </x:c>
      <x:c r="E913" s="40" t="str">
        <x:v>Não iniciado</x:v>
      </x:c>
      <x:c r="F913" s="41" t="str"/>
      <x:c r="G913" s="42" t="str"/>
      <x:c r="H913" s="40" t="str">
        <x:v>Normal</x:v>
      </x:c>
      <x:c r="I913" s="40" t="str">
        <x:f>IF(E913="Concluído","Concluído",IF(A913&lt;TODAY(),"Atrasado",IF(A913=TODAY(),"Hoje","Futuro")))</x:f>
        <x:v>Futuro</x:v>
      </x:c>
      <x:c r="J913" s="43" t="n">
        <x:f>IF(OR(E913="Concluído",A913&gt;=TODAY()),0,TODAY()-A913)</x:f>
        <x:v>0</x:v>
      </x:c>
      <x:c r="K913" s="40" t="str"/>
    </x:row>
    <x:row r="914">
      <x:c r="A914" s="34" t="n">
        <x:v>46437</x:v>
      </x:c>
      <x:c r="B914" s="40" t="str">
        <x:v>Inteligência Emocional</x:v>
      </x:c>
      <x:c r="C914" s="40" t="str">
        <x:v>96 - ELO 96: A Sensação do Tempo Correndo e o Concurseiro</x:v>
      </x:c>
      <x:c r="D914" s="40" t="str">
        <x:v>Pdf</x:v>
      </x:c>
      <x:c r="E914" s="40" t="str">
        <x:v>Não iniciado</x:v>
      </x:c>
      <x:c r="F914" s="41" t="str"/>
      <x:c r="G914" s="42" t="str"/>
      <x:c r="H914" s="40" t="str">
        <x:v>Normal</x:v>
      </x:c>
      <x:c r="I914" s="40" t="str">
        <x:f>IF(E914="Concluído","Concluído",IF(A914&lt;TODAY(),"Atrasado",IF(A914=TODAY(),"Hoje","Futuro")))</x:f>
        <x:v>Futuro</x:v>
      </x:c>
      <x:c r="J914" s="43" t="n">
        <x:f>IF(OR(E914="Concluído",A914&gt;=TODAY()),0,TODAY()-A914)</x:f>
        <x:v>0</x:v>
      </x:c>
      <x:c r="K914" s="40" t="str"/>
    </x:row>
    <x:row r="915">
      <x:c r="A915" s="34" t="n">
        <x:v>46437</x:v>
      </x:c>
      <x:c r="B915" s="40" t="str">
        <x:v>Inteligência Emocional</x:v>
      </x:c>
      <x:c r="C915" s="40" t="str">
        <x:v>97 - ELO 97: A Síndrome do Coração Partido nos Estudos</x:v>
      </x:c>
      <x:c r="D915" s="40" t="str">
        <x:v>Pdf</x:v>
      </x:c>
      <x:c r="E915" s="40" t="str">
        <x:v>Não iniciado</x:v>
      </x:c>
      <x:c r="F915" s="41" t="str"/>
      <x:c r="G915" s="42" t="str"/>
      <x:c r="H915" s="40" t="str">
        <x:v>Normal</x:v>
      </x:c>
      <x:c r="I915" s="40" t="str">
        <x:f>IF(E915="Concluído","Concluído",IF(A915&lt;TODAY(),"Atrasado",IF(A915=TODAY(),"Hoje","Futuro")))</x:f>
        <x:v>Futuro</x:v>
      </x:c>
      <x:c r="J915" s="43" t="n">
        <x:f>IF(OR(E915="Concluído",A915&gt;=TODAY()),0,TODAY()-A915)</x:f>
        <x:v>0</x:v>
      </x:c>
      <x:c r="K915" s="40" t="str"/>
    </x:row>
    <x:row r="916">
      <x:c r="A916" s="34" t="n">
        <x:v>46437</x:v>
      </x:c>
      <x:c r="B916" s="40" t="str">
        <x:v>Inteligência Emocional</x:v>
      </x:c>
      <x:c r="C916" s="40" t="str">
        <x:v>98 - ELO 98: Eu Não Cumpro Aquilo que Prometo</x:v>
      </x:c>
      <x:c r="D916" s="40" t="str">
        <x:v>Pdf</x:v>
      </x:c>
      <x:c r="E916" s="40" t="str">
        <x:v>Não iniciado</x:v>
      </x:c>
      <x:c r="F916" s="41" t="str"/>
      <x:c r="G916" s="42" t="str"/>
      <x:c r="H916" s="40" t="str">
        <x:v>Normal</x:v>
      </x:c>
      <x:c r="I916" s="40" t="str">
        <x:f>IF(E916="Concluído","Concluído",IF(A916&lt;TODAY(),"Atrasado",IF(A916=TODAY(),"Hoje","Futuro")))</x:f>
        <x:v>Futuro</x:v>
      </x:c>
      <x:c r="J916" s="43" t="n">
        <x:f>IF(OR(E916="Concluído",A916&gt;=TODAY()),0,TODAY()-A916)</x:f>
        <x:v>0</x:v>
      </x:c>
      <x:c r="K916" s="40" t="str"/>
    </x:row>
    <x:row r="917">
      <x:c r="A917" s="34" t="n">
        <x:v>46438</x:v>
      </x:c>
      <x:c r="B917" s="40" t="str">
        <x:v>Inteligência Emocional</x:v>
      </x:c>
      <x:c r="C917" s="40" t="str">
        <x:v>98 - ELO 98: Eu Não Cumpro Aquilo que Prometo</x:v>
      </x:c>
      <x:c r="D917" s="40" t="str">
        <x:v>Pdf</x:v>
      </x:c>
      <x:c r="E917" s="40" t="str">
        <x:v>Não iniciado</x:v>
      </x:c>
      <x:c r="F917" s="41" t="str"/>
      <x:c r="G917" s="42" t="str"/>
      <x:c r="H917" s="40" t="str">
        <x:v>Normal</x:v>
      </x:c>
      <x:c r="I917" s="40" t="str">
        <x:f>IF(E917="Concluído","Concluído",IF(A917&lt;TODAY(),"Atrasado",IF(A917=TODAY(),"Hoje","Futuro")))</x:f>
        <x:v>Futuro</x:v>
      </x:c>
      <x:c r="J917" s="43" t="n">
        <x:f>IF(OR(E917="Concluído",A917&gt;=TODAY()),0,TODAY()-A917)</x:f>
        <x:v>0</x:v>
      </x:c>
      <x:c r="K917" s="40" t="str"/>
    </x:row>
    <x:row r="918">
      <x:c r="A918" s="34" t="n">
        <x:v>46438</x:v>
      </x:c>
      <x:c r="B918" s="40" t="str">
        <x:v>Inteligência Emocional</x:v>
      </x:c>
      <x:c r="C918" s="40" t="str">
        <x:v>99 - ELO 99: A Síndrome da Velhice em Jovens</x:v>
      </x:c>
      <x:c r="D918" s="40" t="str">
        <x:v>Pdf</x:v>
      </x:c>
      <x:c r="E918" s="40" t="str">
        <x:v>Não iniciado</x:v>
      </x:c>
      <x:c r="F918" s="41" t="str"/>
      <x:c r="G918" s="42" t="str"/>
      <x:c r="H918" s="40" t="str">
        <x:v>Normal</x:v>
      </x:c>
      <x:c r="I918" s="40" t="str">
        <x:f>IF(E918="Concluído","Concluído",IF(A918&lt;TODAY(),"Atrasado",IF(A918=TODAY(),"Hoje","Futuro")))</x:f>
        <x:v>Futuro</x:v>
      </x:c>
      <x:c r="J918" s="43" t="n">
        <x:f>IF(OR(E918="Concluído",A918&gt;=TODAY()),0,TODAY()-A918)</x:f>
        <x:v>0</x:v>
      </x:c>
      <x:c r="K918" s="40" t="str"/>
    </x:row>
    <x:row r="919">
      <x:c r="A919" s="34" t="n">
        <x:v>46438</x:v>
      </x:c>
      <x:c r="B919" s="40" t="str">
        <x:v>Inteligência Emocional</x:v>
      </x:c>
      <x:c r="C919" s="40" t="str">
        <x:v>100 - ELO 100: Como Recomeçar do Zero</x:v>
      </x:c>
      <x:c r="D919" s="40" t="str">
        <x:v>Pdf</x:v>
      </x:c>
      <x:c r="E919" s="40" t="str">
        <x:v>Não iniciado</x:v>
      </x:c>
      <x:c r="F919" s="41" t="str"/>
      <x:c r="G919" s="42" t="str"/>
      <x:c r="H919" s="40" t="str">
        <x:v>Normal</x:v>
      </x:c>
      <x:c r="I919" s="40" t="str">
        <x:f>IF(E919="Concluído","Concluído",IF(A919&lt;TODAY(),"Atrasado",IF(A919=TODAY(),"Hoje","Futuro")))</x:f>
        <x:v>Futuro</x:v>
      </x:c>
      <x:c r="J919" s="43" t="n">
        <x:f>IF(OR(E919="Concluído",A919&gt;=TODAY()),0,TODAY()-A919)</x:f>
        <x:v>0</x:v>
      </x:c>
      <x:c r="K919" s="40" t="str"/>
    </x:row>
    <x:row r="920">
      <x:c r="A920" s="34" t="n">
        <x:v>46438</x:v>
      </x:c>
      <x:c r="B920" s="40" t="str">
        <x:v>Inteligência Emocional</x:v>
      </x:c>
      <x:c r="C920" s="40" t="str">
        <x:v>101 - ELO 101: Ciclo ou Caminho?</x:v>
      </x:c>
      <x:c r="D920" s="40" t="str">
        <x:v>Pdf</x:v>
      </x:c>
      <x:c r="E920" s="40" t="str">
        <x:v>Não iniciado</x:v>
      </x:c>
      <x:c r="F920" s="41" t="str"/>
      <x:c r="G920" s="42" t="str"/>
      <x:c r="H920" s="40" t="str">
        <x:v>Normal</x:v>
      </x:c>
      <x:c r="I920" s="40" t="str">
        <x:f>IF(E920="Concluído","Concluído",IF(A920&lt;TODAY(),"Atrasado",IF(A920=TODAY(),"Hoje","Futuro")))</x:f>
        <x:v>Futuro</x:v>
      </x:c>
      <x:c r="J920" s="43" t="n">
        <x:f>IF(OR(E920="Concluído",A920&gt;=TODAY()),0,TODAY()-A920)</x:f>
        <x:v>0</x:v>
      </x:c>
      <x:c r="K920" s="40" t="str"/>
    </x:row>
    <x:row r="921">
      <x:c r="A921" s="34" t="n">
        <x:v>46439</x:v>
      </x:c>
      <x:c r="B921" s="40" t="str">
        <x:v>Inteligência Emocional</x:v>
      </x:c>
      <x:c r="C921" s="40" t="str">
        <x:v>101 - ELO 101: Ciclo ou Caminho?</x:v>
      </x:c>
      <x:c r="D921" s="40" t="str">
        <x:v>Pdf</x:v>
      </x:c>
      <x:c r="E921" s="40" t="str">
        <x:v>Não iniciado</x:v>
      </x:c>
      <x:c r="F921" s="41" t="str"/>
      <x:c r="G921" s="42" t="str"/>
      <x:c r="H921" s="40" t="str">
        <x:v>Normal</x:v>
      </x:c>
      <x:c r="I921" s="40" t="str">
        <x:f>IF(E921="Concluído","Concluído",IF(A921&lt;TODAY(),"Atrasado",IF(A921=TODAY(),"Hoje","Futuro")))</x:f>
        <x:v>Futuro</x:v>
      </x:c>
      <x:c r="J921" s="43" t="n">
        <x:f>IF(OR(E921="Concluído",A921&gt;=TODAY()),0,TODAY()-A921)</x:f>
        <x:v>0</x:v>
      </x:c>
      <x:c r="K921" s="40" t="str"/>
    </x:row>
    <x:row r="922">
      <x:c r="A922" s="34" t="n">
        <x:v>46439</x:v>
      </x:c>
      <x:c r="B922" s="40" t="str">
        <x:v>Inteligência Emocional</x:v>
      </x:c>
      <x:c r="C922" s="40" t="str">
        <x:v>102 - ELO 102: A Desfusão Cognitiva e o Concurseiro</x:v>
      </x:c>
      <x:c r="D922" s="40" t="str">
        <x:v>Pdf</x:v>
      </x:c>
      <x:c r="E922" s="40" t="str">
        <x:v>Não iniciado</x:v>
      </x:c>
      <x:c r="F922" s="41" t="str"/>
      <x:c r="G922" s="42" t="str"/>
      <x:c r="H922" s="40" t="str">
        <x:v>Normal</x:v>
      </x:c>
      <x:c r="I922" s="40" t="str">
        <x:f>IF(E922="Concluído","Concluído",IF(A922&lt;TODAY(),"Atrasado",IF(A922=TODAY(),"Hoje","Futuro")))</x:f>
        <x:v>Futuro</x:v>
      </x:c>
      <x:c r="J922" s="43" t="n">
        <x:f>IF(OR(E922="Concluído",A922&gt;=TODAY()),0,TODAY()-A922)</x:f>
        <x:v>0</x:v>
      </x:c>
      <x:c r="K922" s="40" t="str"/>
    </x:row>
    <x:row r="923">
      <x:c r="A923" s="34" t="n">
        <x:v>46439</x:v>
      </x:c>
      <x:c r="B923" s="40" t="str">
        <x:v>Inteligência Emocional</x:v>
      </x:c>
      <x:c r="C923" s="40" t="str">
        <x:v>103 - ELO 103: Pessoas Narcisistas e o Concurseiro</x:v>
      </x:c>
      <x:c r="D923" s="40" t="str">
        <x:v>Pdf</x:v>
      </x:c>
      <x:c r="E923" s="40" t="str">
        <x:v>Não iniciado</x:v>
      </x:c>
      <x:c r="F923" s="41" t="str"/>
      <x:c r="G923" s="42" t="str"/>
      <x:c r="H923" s="40" t="str">
        <x:v>Normal</x:v>
      </x:c>
      <x:c r="I923" s="40" t="str">
        <x:f>IF(E923="Concluído","Concluído",IF(A923&lt;TODAY(),"Atrasado",IF(A923=TODAY(),"Hoje","Futuro")))</x:f>
        <x:v>Futuro</x:v>
      </x:c>
      <x:c r="J923" s="43" t="n">
        <x:f>IF(OR(E923="Concluído",A923&gt;=TODAY()),0,TODAY()-A923)</x:f>
        <x:v>0</x:v>
      </x:c>
      <x:c r="K923" s="40" t="str"/>
    </x:row>
    <x:row r="924">
      <x:c r="A924" s="34" t="n">
        <x:v>46439</x:v>
      </x:c>
      <x:c r="B924" s="40" t="str">
        <x:v>Revisão</x:v>
      </x:c>
      <x:c r="C924" s="40" t="str">
        <x:v>Revisão</x:v>
      </x:c>
      <x:c r="D924" s="40" t="str">
        <x:v>Revisao</x:v>
      </x:c>
      <x:c r="E924" s="40" t="str">
        <x:v>Não iniciado</x:v>
      </x:c>
      <x:c r="F924" s="41" t="str"/>
      <x:c r="G924" s="42" t="str"/>
      <x:c r="H924" s="40" t="str">
        <x:v>Normal</x:v>
      </x:c>
      <x:c r="I924" s="40" t="str">
        <x:f>IF(E924="Concluído","Concluído",IF(A924&lt;TODAY(),"Atrasado",IF(A924=TODAY(),"Hoje","Futuro")))</x:f>
        <x:v>Futuro</x:v>
      </x:c>
      <x:c r="J924" s="43" t="n">
        <x:f>IF(OR(E924="Concluído",A924&gt;=TODAY()),0,TODAY()-A924)</x:f>
        <x:v>0</x:v>
      </x:c>
      <x:c r="K924" s="40" t="str"/>
    </x:row>
    <x:row r="925">
      <x:c r="A925" s="34" t="n">
        <x:v>46440</x:v>
      </x:c>
      <x:c r="B925" s="40" t="str">
        <x:v>Inteligência Emocional</x:v>
      </x:c>
      <x:c r="C925" s="40" t="str">
        <x:v>103 - ELO 103: Pessoas Narcisistas e o Concurseiro</x:v>
      </x:c>
      <x:c r="D925" s="40" t="str">
        <x:v>Pdf</x:v>
      </x:c>
      <x:c r="E925" s="40" t="str">
        <x:v>Não iniciado</x:v>
      </x:c>
      <x:c r="F925" s="41" t="str"/>
      <x:c r="G925" s="42" t="str"/>
      <x:c r="H925" s="40" t="str">
        <x:v>Normal</x:v>
      </x:c>
      <x:c r="I925" s="40" t="str">
        <x:f>IF(E925="Concluído","Concluído",IF(A925&lt;TODAY(),"Atrasado",IF(A925=TODAY(),"Hoje","Futuro")))</x:f>
        <x:v>Futuro</x:v>
      </x:c>
      <x:c r="J925" s="43" t="n">
        <x:f>IF(OR(E925="Concluído",A925&gt;=TODAY()),0,TODAY()-A925)</x:f>
        <x:v>0</x:v>
      </x:c>
      <x:c r="K925" s="40" t="str"/>
    </x:row>
    <x:row r="926">
      <x:c r="A926" s="34" t="n">
        <x:v>46440</x:v>
      </x:c>
      <x:c r="B926" s="40" t="str">
        <x:v>Inteligência Emocional</x:v>
      </x:c>
      <x:c r="C926" s="40" t="str">
        <x:v>104 - ELO 104: A Coragem como Ferramenta Poderosa nos Estudos</x:v>
      </x:c>
      <x:c r="D926" s="40" t="str">
        <x:v>Pdf</x:v>
      </x:c>
      <x:c r="E926" s="40" t="str">
        <x:v>Não iniciado</x:v>
      </x:c>
      <x:c r="F926" s="41" t="str"/>
      <x:c r="G926" s="42" t="str"/>
      <x:c r="H926" s="40" t="str">
        <x:v>Normal</x:v>
      </x:c>
      <x:c r="I926" s="40" t="str">
        <x:f>IF(E926="Concluído","Concluído",IF(A926&lt;TODAY(),"Atrasado",IF(A926=TODAY(),"Hoje","Futuro")))</x:f>
        <x:v>Futuro</x:v>
      </x:c>
      <x:c r="J926" s="43" t="n">
        <x:f>IF(OR(E926="Concluído",A926&gt;=TODAY()),0,TODAY()-A926)</x:f>
        <x:v>0</x:v>
      </x:c>
      <x:c r="K926" s="40" t="str"/>
    </x:row>
    <x:row r="927">
      <x:c r="A927" s="34" t="n">
        <x:v>46440</x:v>
      </x:c>
      <x:c r="B927" s="40" t="str">
        <x:v>Inteligência Emocional</x:v>
      </x:c>
      <x:c r="C927" s="40" t="str">
        <x:v>105 - ELO 105 : Porquê você começa e Depois Para de Estudar?</x:v>
      </x:c>
      <x:c r="D927" s="40" t="str">
        <x:v>Pdf</x:v>
      </x:c>
      <x:c r="E927" s="40" t="str">
        <x:v>Não iniciado</x:v>
      </x:c>
      <x:c r="F927" s="41" t="str"/>
      <x:c r="G927" s="42" t="str"/>
      <x:c r="H927" s="40" t="str">
        <x:v>Normal</x:v>
      </x:c>
      <x:c r="I927" s="40" t="str">
        <x:f>IF(E927="Concluído","Concluído",IF(A927&lt;TODAY(),"Atrasado",IF(A927=TODAY(),"Hoje","Futuro")))</x:f>
        <x:v>Futuro</x:v>
      </x:c>
      <x:c r="J927" s="43" t="n">
        <x:f>IF(OR(E927="Concluído",A927&gt;=TODAY()),0,TODAY()-A927)</x:f>
        <x:v>0</x:v>
      </x:c>
      <x:c r="K927" s="40" t="str"/>
    </x:row>
    <x:row r="928">
      <x:c r="A928" s="34" t="n">
        <x:v>46440</x:v>
      </x:c>
      <x:c r="B928" s="40" t="str">
        <x:v>Inteligência Emocional</x:v>
      </x:c>
      <x:c r="C928" s="40" t="str">
        <x:v>106 - ELO 106: Como os Amigos e a Família Podem Atrapalhar os Estudos</x:v>
      </x:c>
      <x:c r="D928" s="40" t="str">
        <x:v>Pdf</x:v>
      </x:c>
      <x:c r="E928" s="40" t="str">
        <x:v>Não iniciado</x:v>
      </x:c>
      <x:c r="F928" s="41" t="str"/>
      <x:c r="G928" s="42" t="str"/>
      <x:c r="H928" s="40" t="str">
        <x:v>Normal</x:v>
      </x:c>
      <x:c r="I928" s="40" t="str">
        <x:f>IF(E928="Concluído","Concluído",IF(A928&lt;TODAY(),"Atrasado",IF(A928=TODAY(),"Hoje","Futuro")))</x:f>
        <x:v>Futuro</x:v>
      </x:c>
      <x:c r="J928" s="43" t="n">
        <x:f>IF(OR(E928="Concluído",A928&gt;=TODAY()),0,TODAY()-A928)</x:f>
        <x:v>0</x:v>
      </x:c>
      <x:c r="K928" s="40" t="str"/>
    </x:row>
    <x:row r="929">
      <x:c r="A929" s="34" t="n">
        <x:v>46441</x:v>
      </x:c>
      <x:c r="B929" s="40" t="str">
        <x:v>Inteligência Emocional</x:v>
      </x:c>
      <x:c r="C929" s="40" t="str">
        <x:v>106 - ELO 106: Como os Amigos e a Família Podem Atrapalhar os Estudos</x:v>
      </x:c>
      <x:c r="D929" s="40" t="str">
        <x:v>Pdf</x:v>
      </x:c>
      <x:c r="E929" s="40" t="str">
        <x:v>Não iniciado</x:v>
      </x:c>
      <x:c r="F929" s="41" t="str"/>
      <x:c r="G929" s="42" t="str"/>
      <x:c r="H929" s="40" t="str">
        <x:v>Normal</x:v>
      </x:c>
      <x:c r="I929" s="40" t="str">
        <x:f>IF(E929="Concluído","Concluído",IF(A929&lt;TODAY(),"Atrasado",IF(A929=TODAY(),"Hoje","Futuro")))</x:f>
        <x:v>Futuro</x:v>
      </x:c>
      <x:c r="J929" s="43" t="n">
        <x:f>IF(OR(E929="Concluído",A929&gt;=TODAY()),0,TODAY()-A929)</x:f>
        <x:v>0</x:v>
      </x:c>
      <x:c r="K929" s="40" t="str"/>
    </x:row>
    <x:row r="930">
      <x:c r="A930" s="34" t="n">
        <x:v>46441</x:v>
      </x:c>
      <x:c r="B930" s="40" t="str">
        <x:v>Inteligência Emocional</x:v>
      </x:c>
      <x:c r="C930" s="40" t="str">
        <x:v>107 - ELO 107: Como Passar Rápido em um Concurso: a Fórmula Mágica</x:v>
      </x:c>
      <x:c r="D930" s="40" t="str">
        <x:v>Pdf</x:v>
      </x:c>
      <x:c r="E930" s="40" t="str">
        <x:v>Não iniciado</x:v>
      </x:c>
      <x:c r="F930" s="41" t="str"/>
      <x:c r="G930" s="42" t="str"/>
      <x:c r="H930" s="40" t="str">
        <x:v>Normal</x:v>
      </x:c>
      <x:c r="I930" s="40" t="str">
        <x:f>IF(E930="Concluído","Concluído",IF(A930&lt;TODAY(),"Atrasado",IF(A930=TODAY(),"Hoje","Futuro")))</x:f>
        <x:v>Futuro</x:v>
      </x:c>
      <x:c r="J930" s="43" t="n">
        <x:f>IF(OR(E930="Concluído",A930&gt;=TODAY()),0,TODAY()-A930)</x:f>
        <x:v>0</x:v>
      </x:c>
      <x:c r="K930" s="40" t="str"/>
    </x:row>
    <x:row r="931">
      <x:c r="A931" s="34" t="n">
        <x:v>46441</x:v>
      </x:c>
      <x:c r="B931" s="40" t="str">
        <x:v>Inteligência Emocional</x:v>
      </x:c>
      <x:c r="C931" s="40" t="str">
        <x:v>108 - ELO 108: Otrovertidos e Concurseiros</x:v>
      </x:c>
      <x:c r="D931" s="40" t="str">
        <x:v>Pdf</x:v>
      </x:c>
      <x:c r="E931" s="40" t="str">
        <x:v>Não iniciado</x:v>
      </x:c>
      <x:c r="F931" s="41" t="str"/>
      <x:c r="G931" s="42" t="str"/>
      <x:c r="H931" s="40" t="str">
        <x:v>Normal</x:v>
      </x:c>
      <x:c r="I931" s="40" t="str">
        <x:f>IF(E931="Concluído","Concluído",IF(A931&lt;TODAY(),"Atrasado",IF(A931=TODAY(),"Hoje","Futuro")))</x:f>
        <x:v>Futuro</x:v>
      </x:c>
      <x:c r="J931" s="43" t="n">
        <x:f>IF(OR(E931="Concluído",A931&gt;=TODAY()),0,TODAY()-A931)</x:f>
        <x:v>0</x:v>
      </x:c>
      <x:c r="K931" s="40" t="str"/>
    </x:row>
    <x:row r="932">
      <x:c r="A932" s="34" t="n">
        <x:v>46442</x:v>
      </x:c>
      <x:c r="B932" s="40" t="str">
        <x:v>Inteligência Emocional</x:v>
      </x:c>
      <x:c r="C932" s="40" t="str">
        <x:v>108 - ELO 108: Otrovertidos e Concurseiros</x:v>
      </x:c>
      <x:c r="D932" s="40" t="str">
        <x:v>Pdf</x:v>
      </x:c>
      <x:c r="E932" s="40" t="str">
        <x:v>Não iniciado</x:v>
      </x:c>
      <x:c r="F932" s="41" t="str"/>
      <x:c r="G932" s="42" t="str"/>
      <x:c r="H932" s="40" t="str">
        <x:v>Normal</x:v>
      </x:c>
      <x:c r="I932" s="40" t="str">
        <x:f>IF(E932="Concluído","Concluído",IF(A932&lt;TODAY(),"Atrasado",IF(A932=TODAY(),"Hoje","Futuro")))</x:f>
        <x:v>Futuro</x:v>
      </x:c>
      <x:c r="J932" s="43" t="n">
        <x:f>IF(OR(E932="Concluído",A932&gt;=TODAY()),0,TODAY()-A932)</x:f>
        <x:v>0</x:v>
      </x:c>
      <x:c r="K932" s="40" t="str"/>
    </x:row>
    <x:row r="933">
      <x:c r="A933" s="34" t="n">
        <x:v>46442</x:v>
      </x:c>
      <x:c r="B933" s="40" t="str">
        <x:v>Inteligência Emocional</x:v>
      </x:c>
      <x:c r="C933" s="40" t="str">
        <x:v>109 - ELO 109: Intensidade x Profundidade nos Estudos</x:v>
      </x:c>
      <x:c r="D933" s="40" t="str">
        <x:v>Pdf</x:v>
      </x:c>
      <x:c r="E933" s="40" t="str">
        <x:v>Não iniciado</x:v>
      </x:c>
      <x:c r="F933" s="41" t="str"/>
      <x:c r="G933" s="42" t="str"/>
      <x:c r="H933" s="40" t="str">
        <x:v>Normal</x:v>
      </x:c>
      <x:c r="I933" s="40" t="str">
        <x:f>IF(E933="Concluído","Concluído",IF(A933&lt;TODAY(),"Atrasado",IF(A933=TODAY(),"Hoje","Futuro")))</x:f>
        <x:v>Futuro</x:v>
      </x:c>
      <x:c r="J933" s="43" t="n">
        <x:f>IF(OR(E933="Concluído",A933&gt;=TODAY()),0,TODAY()-A933)</x:f>
        <x:v>0</x:v>
      </x:c>
      <x:c r="K933" s="40" t="str"/>
    </x:row>
    <x:row r="934">
      <x:c r="A934" s="34" t="n">
        <x:v>46442</x:v>
      </x:c>
      <x:c r="B934" s="40" t="str">
        <x:v>Inteligência Emocional</x:v>
      </x:c>
      <x:c r="C934" s="40" t="str">
        <x:v>110 - ELO 110: Como Identificar que a Falta de Sono tem Causa Emocional?</x:v>
      </x:c>
      <x:c r="D934" s="40" t="str">
        <x:v>Pdf</x:v>
      </x:c>
      <x:c r="E934" s="40" t="str">
        <x:v>Não iniciado</x:v>
      </x:c>
      <x:c r="F934" s="41" t="str"/>
      <x:c r="G934" s="42" t="str"/>
      <x:c r="H934" s="40" t="str">
        <x:v>Normal</x:v>
      </x:c>
      <x:c r="I934" s="40" t="str">
        <x:f>IF(E934="Concluído","Concluído",IF(A934&lt;TODAY(),"Atrasado",IF(A934=TODAY(),"Hoje","Futuro")))</x:f>
        <x:v>Futuro</x:v>
      </x:c>
      <x:c r="J934" s="43" t="n">
        <x:f>IF(OR(E934="Concluído",A934&gt;=TODAY()),0,TODAY()-A934)</x:f>
        <x:v>0</x:v>
      </x:c>
      <x:c r="K934" s="40" t="str"/>
    </x:row>
    <x:row r="935">
      <x:c r="A935" s="34" t="n">
        <x:v>46442</x:v>
      </x:c>
      <x:c r="B935" s="40" t="str">
        <x:v>Inteligência Emocional</x:v>
      </x:c>
      <x:c r="C935" s="40" t="str">
        <x:v>111 - ELO 111: A Mentalidade de Escassez e o Concurseiro</x:v>
      </x:c>
      <x:c r="D935" s="40" t="str">
        <x:v>Pdf</x:v>
      </x:c>
      <x:c r="E935" s="40" t="str">
        <x:v>Não iniciado</x:v>
      </x:c>
      <x:c r="F935" s="41" t="str"/>
      <x:c r="G935" s="42" t="str"/>
      <x:c r="H935" s="40" t="str">
        <x:v>Normal</x:v>
      </x:c>
      <x:c r="I935" s="40" t="str">
        <x:f>IF(E935="Concluído","Concluído",IF(A935&lt;TODAY(),"Atrasado",IF(A935=TODAY(),"Hoje","Futuro")))</x:f>
        <x:v>Futuro</x:v>
      </x:c>
      <x:c r="J935" s="43" t="n">
        <x:f>IF(OR(E935="Concluído",A935&gt;=TODAY()),0,TODAY()-A935)</x:f>
        <x:v>0</x:v>
      </x:c>
      <x:c r="K935" s="40" t="str"/>
    </x:row>
    <x:row r="936">
      <x:c r="A936" s="34" t="n">
        <x:v>46443</x:v>
      </x:c>
      <x:c r="B936" s="40" t="str">
        <x:v>Inteligência Emocional</x:v>
      </x:c>
      <x:c r="C936" s="40" t="str">
        <x:v>111 - ELO 111: A Mentalidade de Escassez e o Concurseiro</x:v>
      </x:c>
      <x:c r="D936" s="40" t="str">
        <x:v>Pdf</x:v>
      </x:c>
      <x:c r="E936" s="40" t="str">
        <x:v>Não iniciado</x:v>
      </x:c>
      <x:c r="F936" s="41" t="str"/>
      <x:c r="G936" s="42" t="str"/>
      <x:c r="H936" s="40" t="str">
        <x:v>Normal</x:v>
      </x:c>
      <x:c r="I936" s="40" t="str">
        <x:f>IF(E936="Concluído","Concluído",IF(A936&lt;TODAY(),"Atrasado",IF(A936=TODAY(),"Hoje","Futuro")))</x:f>
        <x:v>Futuro</x:v>
      </x:c>
      <x:c r="J936" s="43" t="n">
        <x:f>IF(OR(E936="Concluído",A936&gt;=TODAY()),0,TODAY()-A936)</x:f>
        <x:v>0</x:v>
      </x:c>
      <x:c r="K936" s="40" t="str"/>
    </x:row>
    <x:row r="937">
      <x:c r="A937" s="34" t="n">
        <x:v>46443</x:v>
      </x:c>
      <x:c r="B937" s="40" t="str">
        <x:v>Inteligência Emocional</x:v>
      </x:c>
      <x:c r="C937" s="40" t="str">
        <x:v>112 - ELO 112: Abuso Físico e Psicológico e Consequências para a Aprendizagem</x:v>
      </x:c>
      <x:c r="D937" s="40" t="str">
        <x:v>Pdf</x:v>
      </x:c>
      <x:c r="E937" s="40" t="str">
        <x:v>Não iniciado</x:v>
      </x:c>
      <x:c r="F937" s="41" t="str"/>
      <x:c r="G937" s="42" t="str"/>
      <x:c r="H937" s="40" t="str">
        <x:v>Normal</x:v>
      </x:c>
      <x:c r="I937" s="40" t="str">
        <x:f>IF(E937="Concluído","Concluído",IF(A937&lt;TODAY(),"Atrasado",IF(A937=TODAY(),"Hoje","Futuro")))</x:f>
        <x:v>Futuro</x:v>
      </x:c>
      <x:c r="J937" s="43" t="n">
        <x:f>IF(OR(E937="Concluído",A937&gt;=TODAY()),0,TODAY()-A937)</x:f>
        <x:v>0</x:v>
      </x:c>
      <x:c r="K937" s="40" t="str"/>
    </x:row>
    <x:row r="938">
      <x:c r="A938" s="34" t="n">
        <x:v>46443</x:v>
      </x:c>
      <x:c r="B938" s="40" t="str">
        <x:v>Inteligência Emocional</x:v>
      </x:c>
      <x:c r="C938" s="40" t="str">
        <x:v>113 - ELO 113: Manual para os Familiares dos Concurseiros</x:v>
      </x:c>
      <x:c r="D938" s="40" t="str">
        <x:v>Pdf</x:v>
      </x:c>
      <x:c r="E938" s="40" t="str">
        <x:v>Não iniciado</x:v>
      </x:c>
      <x:c r="F938" s="41" t="str"/>
      <x:c r="G938" s="42" t="str"/>
      <x:c r="H938" s="40" t="str">
        <x:v>Normal</x:v>
      </x:c>
      <x:c r="I938" s="40" t="str">
        <x:f>IF(E938="Concluído","Concluído",IF(A938&lt;TODAY(),"Atrasado",IF(A938=TODAY(),"Hoje","Futuro")))</x:f>
        <x:v>Futuro</x:v>
      </x:c>
      <x:c r="J938" s="43" t="n">
        <x:f>IF(OR(E938="Concluído",A938&gt;=TODAY()),0,TODAY()-A938)</x:f>
        <x:v>0</x:v>
      </x:c>
      <x:c r="K938" s="40" t="str"/>
    </x:row>
    <x:row r="939">
      <x:c r="A939" s="34" t="n">
        <x:v>46444</x:v>
      </x:c>
      <x:c r="B939" s="40" t="str">
        <x:v>Inteligência Emocional</x:v>
      </x:c>
      <x:c r="C939" s="40" t="str">
        <x:v>113 - ELO 113: Manual para os Familiares dos Concurseiros</x:v>
      </x:c>
      <x:c r="D939" s="40" t="str">
        <x:v>Pdf</x:v>
      </x:c>
      <x:c r="E939" s="40" t="str">
        <x:v>Não iniciado</x:v>
      </x:c>
      <x:c r="F939" s="41" t="str"/>
      <x:c r="G939" s="42" t="str"/>
      <x:c r="H939" s="40" t="str">
        <x:v>Normal</x:v>
      </x:c>
      <x:c r="I939" s="40" t="str">
        <x:f>IF(E939="Concluído","Concluído",IF(A939&lt;TODAY(),"Atrasado",IF(A939=TODAY(),"Hoje","Futuro")))</x:f>
        <x:v>Futuro</x:v>
      </x:c>
      <x:c r="J939" s="43" t="n">
        <x:f>IF(OR(E939="Concluído",A939&gt;=TODAY()),0,TODAY()-A939)</x:f>
        <x:v>0</x:v>
      </x:c>
      <x:c r="K939" s="40" t="str"/>
    </x:row>
    <x:row r="940">
      <x:c r="A940" s="34" t="n">
        <x:v>46444</x:v>
      </x:c>
      <x:c r="B940" s="40" t="str">
        <x:v>Inteligência Emocional</x:v>
      </x:c>
      <x:c r="C940" s="40" t="str">
        <x:v>114 - ELO 114: Tipos de Concurseiros que Você não Deve Ser</x:v>
      </x:c>
      <x:c r="D940" s="40" t="str">
        <x:v>Pdf</x:v>
      </x:c>
      <x:c r="E940" s="40" t="str">
        <x:v>Não iniciado</x:v>
      </x:c>
      <x:c r="F940" s="41" t="str"/>
      <x:c r="G940" s="42" t="str"/>
      <x:c r="H940" s="40" t="str">
        <x:v>Normal</x:v>
      </x:c>
      <x:c r="I940" s="40" t="str">
        <x:f>IF(E940="Concluído","Concluído",IF(A940&lt;TODAY(),"Atrasado",IF(A940=TODAY(),"Hoje","Futuro")))</x:f>
        <x:v>Futuro</x:v>
      </x:c>
      <x:c r="J940" s="43" t="n">
        <x:f>IF(OR(E940="Concluído",A940&gt;=TODAY()),0,TODAY()-A940)</x:f>
        <x:v>0</x:v>
      </x:c>
      <x:c r="K940" s="40" t="str"/>
    </x:row>
    <x:row r="941">
      <x:c r="A941" s="34" t="n">
        <x:v>46444</x:v>
      </x:c>
      <x:c r="B941" s="40" t="str">
        <x:v>Inteligência Emocional</x:v>
      </x:c>
      <x:c r="C941" s="40" t="str">
        <x:v>115 - ELO 115: A Ansiedade de Planejamento e a Procrastinação</x:v>
      </x:c>
      <x:c r="D941" s="40" t="str">
        <x:v>Pdf</x:v>
      </x:c>
      <x:c r="E941" s="40" t="str">
        <x:v>Não iniciado</x:v>
      </x:c>
      <x:c r="F941" s="41" t="str"/>
      <x:c r="G941" s="42" t="str"/>
      <x:c r="H941" s="40" t="str">
        <x:v>Normal</x:v>
      </x:c>
      <x:c r="I941" s="40" t="str">
        <x:f>IF(E941="Concluído","Concluído",IF(A941&lt;TODAY(),"Atrasado",IF(A941=TODAY(),"Hoje","Futuro")))</x:f>
        <x:v>Futuro</x:v>
      </x:c>
      <x:c r="J941" s="43" t="n">
        <x:f>IF(OR(E941="Concluído",A941&gt;=TODAY()),0,TODAY()-A941)</x:f>
        <x:v>0</x:v>
      </x:c>
      <x:c r="K941" s="40" t="str"/>
    </x:row>
    <x:row r="942">
      <x:c r="A942" s="34" t="n">
        <x:v>46444</x:v>
      </x:c>
      <x:c r="B942" s="40" t="str">
        <x:v>Inteligência Emocional</x:v>
      </x:c>
      <x:c r="C942" s="40" t="str">
        <x:v>116 - ELO 116: Como Lidar com a Incerteza de Passar</x:v>
      </x:c>
      <x:c r="D942" s="40" t="str">
        <x:v>Pdf</x:v>
      </x:c>
      <x:c r="E942" s="40" t="str">
        <x:v>Não iniciado</x:v>
      </x:c>
      <x:c r="F942" s="41" t="str"/>
      <x:c r="G942" s="42" t="str"/>
      <x:c r="H942" s="40" t="str">
        <x:v>Normal</x:v>
      </x:c>
      <x:c r="I942" s="40" t="str">
        <x:f>IF(E942="Concluído","Concluído",IF(A942&lt;TODAY(),"Atrasado",IF(A942=TODAY(),"Hoje","Futuro")))</x:f>
        <x:v>Futuro</x:v>
      </x:c>
      <x:c r="J942" s="43" t="n">
        <x:f>IF(OR(E942="Concluído",A942&gt;=TODAY()),0,TODAY()-A942)</x:f>
        <x:v>0</x:v>
      </x:c>
      <x:c r="K942" s="40" t="str"/>
    </x:row>
    <x:row r="943">
      <x:c r="A943" s="34" t="n">
        <x:v>46445</x:v>
      </x:c>
      <x:c r="B943" s="40" t="str">
        <x:v>Inteligência Emocional</x:v>
      </x:c>
      <x:c r="C943" s="40" t="str">
        <x:v>116 - ELO 116: Como Lidar com a Incerteza de Passar</x:v>
      </x:c>
      <x:c r="D943" s="40" t="str">
        <x:v>Pdf</x:v>
      </x:c>
      <x:c r="E943" s="40" t="str">
        <x:v>Não iniciado</x:v>
      </x:c>
      <x:c r="F943" s="41" t="str"/>
      <x:c r="G943" s="42" t="str"/>
      <x:c r="H943" s="40" t="str">
        <x:v>Normal</x:v>
      </x:c>
      <x:c r="I943" s="40" t="str">
        <x:f>IF(E943="Concluído","Concluído",IF(A943&lt;TODAY(),"Atrasado",IF(A943=TODAY(),"Hoje","Futuro")))</x:f>
        <x:v>Futuro</x:v>
      </x:c>
      <x:c r="J943" s="43" t="n">
        <x:f>IF(OR(E943="Concluído",A943&gt;=TODAY()),0,TODAY()-A943)</x:f>
        <x:v>0</x:v>
      </x:c>
      <x:c r="K943" s="40" t="str"/>
    </x:row>
    <x:row r="944">
      <x:c r="A944" s="34" t="n">
        <x:v>46445</x:v>
      </x:c>
      <x:c r="B944" s="40" t="str">
        <x:v>Inteligência Emocional</x:v>
      </x:c>
      <x:c r="C944" s="40" t="str">
        <x:v>117 - ELO 117: A Regulação de Expectativas</x:v>
      </x:c>
      <x:c r="D944" s="40" t="str">
        <x:v>Pdf</x:v>
      </x:c>
      <x:c r="E944" s="40" t="str">
        <x:v>Não iniciado</x:v>
      </x:c>
      <x:c r="F944" s="41" t="str"/>
      <x:c r="G944" s="42" t="str"/>
      <x:c r="H944" s="40" t="str">
        <x:v>Normal</x:v>
      </x:c>
      <x:c r="I944" s="40" t="str">
        <x:f>IF(E944="Concluído","Concluído",IF(A944&lt;TODAY(),"Atrasado",IF(A944=TODAY(),"Hoje","Futuro")))</x:f>
        <x:v>Futuro</x:v>
      </x:c>
      <x:c r="J944" s="43" t="n">
        <x:f>IF(OR(E944="Concluído",A944&gt;=TODAY()),0,TODAY()-A944)</x:f>
        <x:v>0</x:v>
      </x:c>
      <x:c r="K944" s="40" t="str"/>
    </x:row>
    <x:row r="945">
      <x:c r="A945" s="34" t="n">
        <x:v>46445</x:v>
      </x:c>
      <x:c r="B945" s="40" t="str">
        <x:v>Inteligência Emocional</x:v>
      </x:c>
      <x:c r="C945" s="40" t="str">
        <x:v>118 - ELO 118: Você se Avalia pelos Resultados? Isso Pode te Reprovar!</x:v>
      </x:c>
      <x:c r="D945" s="40" t="str">
        <x:v>Pdf</x:v>
      </x:c>
      <x:c r="E945" s="40" t="str">
        <x:v>Não iniciado</x:v>
      </x:c>
      <x:c r="F945" s="41" t="str"/>
      <x:c r="G945" s="42" t="str"/>
      <x:c r="H945" s="40" t="str">
        <x:v>Normal</x:v>
      </x:c>
      <x:c r="I945" s="40" t="str">
        <x:f>IF(E945="Concluído","Concluído",IF(A945&lt;TODAY(),"Atrasado",IF(A945=TODAY(),"Hoje","Futuro")))</x:f>
        <x:v>Futuro</x:v>
      </x:c>
      <x:c r="J945" s="43" t="n">
        <x:f>IF(OR(E945="Concluído",A945&gt;=TODAY()),0,TODAY()-A945)</x:f>
        <x:v>0</x:v>
      </x:c>
      <x:c r="K945" s="40" t="str"/>
    </x:row>
    <x:row r="946">
      <x:c r="A946" s="34" t="n">
        <x:v>46446</x:v>
      </x:c>
      <x:c r="B946" s="40" t="str">
        <x:v>Inteligência Emocional</x:v>
      </x:c>
      <x:c r="C946" s="40" t="str">
        <x:v>118 - ELO 118: Você se Avalia pelos Resultados? Isso Pode te Reprovar!</x:v>
      </x:c>
      <x:c r="D946" s="40" t="str">
        <x:v>Pdf</x:v>
      </x:c>
      <x:c r="E946" s="40" t="str">
        <x:v>Não iniciado</x:v>
      </x:c>
      <x:c r="F946" s="41" t="str"/>
      <x:c r="G946" s="42" t="str"/>
      <x:c r="H946" s="40" t="str">
        <x:v>Normal</x:v>
      </x:c>
      <x:c r="I946" s="40" t="str">
        <x:f>IF(E946="Concluído","Concluído",IF(A946&lt;TODAY(),"Atrasado",IF(A946=TODAY(),"Hoje","Futuro")))</x:f>
        <x:v>Futuro</x:v>
      </x:c>
      <x:c r="J946" s="43" t="n">
        <x:f>IF(OR(E946="Concluído",A946&gt;=TODAY()),0,TODAY()-A946)</x:f>
        <x:v>0</x:v>
      </x:c>
      <x:c r="K946" s="40" t="str"/>
    </x:row>
    <x:row r="947">
      <x:c r="A947" s="34" t="n">
        <x:v>46446</x:v>
      </x:c>
      <x:c r="B947" s="40" t="str">
        <x:v>Inteligência Emocional</x:v>
      </x:c>
      <x:c r="C947" s="40" t="str">
        <x:v>119 - ELO 119: Ilusão de Progresso: Planejamento ou Atraso?</x:v>
      </x:c>
      <x:c r="D947" s="40" t="str">
        <x:v>Pdf</x:v>
      </x:c>
      <x:c r="E947" s="40" t="str">
        <x:v>Não iniciado</x:v>
      </x:c>
      <x:c r="F947" s="41" t="str"/>
      <x:c r="G947" s="42" t="str"/>
      <x:c r="H947" s="40" t="str">
        <x:v>Normal</x:v>
      </x:c>
      <x:c r="I947" s="40" t="str">
        <x:f>IF(E947="Concluído","Concluído",IF(A947&lt;TODAY(),"Atrasado",IF(A947=TODAY(),"Hoje","Futuro")))</x:f>
        <x:v>Futuro</x:v>
      </x:c>
      <x:c r="J947" s="43" t="n">
        <x:f>IF(OR(E947="Concluído",A947&gt;=TODAY()),0,TODAY()-A947)</x:f>
        <x:v>0</x:v>
      </x:c>
      <x:c r="K947" s="40" t="str"/>
    </x:row>
    <x:row r="948">
      <x:c r="A948" s="34" t="n">
        <x:v>46446</x:v>
      </x:c>
      <x:c r="B948" s="40" t="str">
        <x:v>Inteligência Emocional</x:v>
      </x:c>
      <x:c r="C948" s="40" t="str">
        <x:v>120 - ELO 120: A Autoeficácia Percebida</x:v>
      </x:c>
      <x:c r="D948" s="40" t="str">
        <x:v>Pdf</x:v>
      </x:c>
      <x:c r="E948" s="40" t="str">
        <x:v>Não iniciado</x:v>
      </x:c>
      <x:c r="F948" s="41" t="str"/>
      <x:c r="G948" s="42" t="str"/>
      <x:c r="H948" s="40" t="str">
        <x:v>Normal</x:v>
      </x:c>
      <x:c r="I948" s="40" t="str">
        <x:f>IF(E948="Concluído","Concluído",IF(A948&lt;TODAY(),"Atrasado",IF(A948=TODAY(),"Hoje","Futuro")))</x:f>
        <x:v>Futuro</x:v>
      </x:c>
      <x:c r="J948" s="43" t="n">
        <x:f>IF(OR(E948="Concluído",A948&gt;=TODAY()),0,TODAY()-A948)</x:f>
        <x:v>0</x:v>
      </x:c>
      <x:c r="K948" s="40" t="str"/>
    </x:row>
    <x:row r="949">
      <x:c r="A949" s="34" t="n">
        <x:v>46446</x:v>
      </x:c>
      <x:c r="B949" s="40" t="str">
        <x:v>Revisão</x:v>
      </x:c>
      <x:c r="C949" s="40" t="str">
        <x:v>Revisão</x:v>
      </x:c>
      <x:c r="D949" s="40" t="str">
        <x:v>Revisao</x:v>
      </x:c>
      <x:c r="E949" s="40" t="str">
        <x:v>Não iniciado</x:v>
      </x:c>
      <x:c r="F949" s="41" t="str"/>
      <x:c r="G949" s="42" t="str"/>
      <x:c r="H949" s="40" t="str">
        <x:v>Normal</x:v>
      </x:c>
      <x:c r="I949" s="40" t="str">
        <x:f>IF(E949="Concluído","Concluído",IF(A949&lt;TODAY(),"Atrasado",IF(A949=TODAY(),"Hoje","Futuro")))</x:f>
        <x:v>Futuro</x:v>
      </x:c>
      <x:c r="J949" s="43" t="n">
        <x:f>IF(OR(E949="Concluído",A949&gt;=TODAY()),0,TODAY()-A949)</x:f>
        <x:v>0</x:v>
      </x:c>
      <x:c r="K949" s="40" t="str"/>
    </x:row>
    <x:row r="950">
      <x:c r="A950" s="34" t="n">
        <x:v>46447</x:v>
      </x:c>
      <x:c r="B950" s="40" t="str">
        <x:v>Inteligência Emocional</x:v>
      </x:c>
      <x:c r="C950" s="40" t="str">
        <x:v>120 - ELO 120: A Autoeficácia Percebida</x:v>
      </x:c>
      <x:c r="D950" s="40" t="str">
        <x:v>Pdf</x:v>
      </x:c>
      <x:c r="E950" s="40" t="str">
        <x:v>Não iniciado</x:v>
      </x:c>
      <x:c r="F950" s="41" t="str"/>
      <x:c r="G950" s="42" t="str"/>
      <x:c r="H950" s="40" t="str">
        <x:v>Normal</x:v>
      </x:c>
      <x:c r="I950" s="40" t="str">
        <x:f>IF(E950="Concluído","Concluído",IF(A950&lt;TODAY(),"Atrasado",IF(A950=TODAY(),"Hoje","Futuro")))</x:f>
        <x:v>Futuro</x:v>
      </x:c>
      <x:c r="J950" s="43" t="n">
        <x:f>IF(OR(E950="Concluído",A950&gt;=TODAY()),0,TODAY()-A950)</x:f>
        <x:v>0</x:v>
      </x:c>
      <x:c r="K950" s="40" t="str"/>
    </x:row>
    <x:row r="951">
      <x:c r="A951" s="34" t="n">
        <x:v>46447</x:v>
      </x:c>
      <x:c r="B951" s="40" t="str">
        <x:v>Inteligência Emocional</x:v>
      </x:c>
      <x:c r="C951" s="40" t="str">
        <x:v>121 - ELO 121: A Pressa Também é um Vício</x:v>
      </x:c>
      <x:c r="D951" s="40" t="str">
        <x:v>Pdf</x:v>
      </x:c>
      <x:c r="E951" s="40" t="str">
        <x:v>Não iniciado</x:v>
      </x:c>
      <x:c r="F951" s="41" t="str"/>
      <x:c r="G951" s="42" t="str"/>
      <x:c r="H951" s="40" t="str">
        <x:v>Normal</x:v>
      </x:c>
      <x:c r="I951" s="40" t="str">
        <x:f>IF(E951="Concluído","Concluído",IF(A951&lt;TODAY(),"Atrasado",IF(A951=TODAY(),"Hoje","Futuro")))</x:f>
        <x:v>Futuro</x:v>
      </x:c>
      <x:c r="J951" s="43" t="n">
        <x:f>IF(OR(E951="Concluído",A951&gt;=TODAY()),0,TODAY()-A951)</x:f>
        <x:v>0</x:v>
      </x:c>
      <x:c r="K951" s="40" t="str"/>
    </x:row>
    <x:row r="952">
      <x:c r="A952" s="34" t="n">
        <x:v>46447</x:v>
      </x:c>
      <x:c r="B952" s="40" t="str">
        <x:v>Inteligência Emocional</x:v>
      </x:c>
      <x:c r="C952" s="40" t="str">
        <x:v>122 - ELO 122: Qual o seu Cronotipo?</x:v>
      </x:c>
      <x:c r="D952" s="40" t="str">
        <x:v>Pdf</x:v>
      </x:c>
      <x:c r="E952" s="40" t="str">
        <x:v>Não iniciado</x:v>
      </x:c>
      <x:c r="F952" s="41" t="str"/>
      <x:c r="G952" s="42" t="str"/>
      <x:c r="H952" s="40" t="str">
        <x:v>Normal</x:v>
      </x:c>
      <x:c r="I952" s="40" t="str">
        <x:f>IF(E952="Concluído","Concluído",IF(A952&lt;TODAY(),"Atrasado",IF(A952=TODAY(),"Hoje","Futuro")))</x:f>
        <x:v>Futuro</x:v>
      </x:c>
      <x:c r="J952" s="43" t="n">
        <x:f>IF(OR(E952="Concluído",A952&gt;=TODAY()),0,TODAY()-A952)</x:f>
        <x:v>0</x:v>
      </x:c>
      <x:c r="K952" s="40" t="str"/>
    </x:row>
    <x:row r="953">
      <x:c r="A953" s="34" t="n">
        <x:v>46448</x:v>
      </x:c>
      <x:c r="B953" s="40" t="str">
        <x:v>Inteligência Emocional</x:v>
      </x:c>
      <x:c r="C953" s="40" t="str">
        <x:v>122 - ELO 122: Qual o seu Cronotipo?</x:v>
      </x:c>
      <x:c r="D953" s="40" t="str">
        <x:v>Pdf</x:v>
      </x:c>
      <x:c r="E953" s="40" t="str">
        <x:v>Não iniciado</x:v>
      </x:c>
      <x:c r="F953" s="41" t="str"/>
      <x:c r="G953" s="42" t="str"/>
      <x:c r="H953" s="40" t="str">
        <x:v>Normal</x:v>
      </x:c>
      <x:c r="I953" s="40" t="str">
        <x:f>IF(E953="Concluído","Concluído",IF(A953&lt;TODAY(),"Atrasado",IF(A953=TODAY(),"Hoje","Futuro")))</x:f>
        <x:v>Futuro</x:v>
      </x:c>
      <x:c r="J953" s="43" t="n">
        <x:f>IF(OR(E953="Concluído",A953&gt;=TODAY()),0,TODAY()-A953)</x:f>
        <x:v>0</x:v>
      </x:c>
      <x:c r="K953" s="40" t="str"/>
    </x:row>
    <x:row r="954">
      <x:c r="A954" s="34" t="n">
        <x:v>46448</x:v>
      </x:c>
      <x:c r="B954" s="40" t="str">
        <x:v>Inteligência Emocional</x:v>
      </x:c>
      <x:c r="C954" s="40" t="str">
        <x:v>123 - ELO 123: O Vício em Pornografia e Estudos</x:v>
      </x:c>
      <x:c r="D954" s="40" t="str">
        <x:v>Pdf</x:v>
      </x:c>
      <x:c r="E954" s="40" t="str">
        <x:v>Não iniciado</x:v>
      </x:c>
      <x:c r="F954" s="41" t="str"/>
      <x:c r="G954" s="42" t="str"/>
      <x:c r="H954" s="40" t="str">
        <x:v>Normal</x:v>
      </x:c>
      <x:c r="I954" s="40" t="str">
        <x:f>IF(E954="Concluído","Concluído",IF(A954&lt;TODAY(),"Atrasado",IF(A954=TODAY(),"Hoje","Futuro")))</x:f>
        <x:v>Futuro</x:v>
      </x:c>
      <x:c r="J954" s="43" t="n">
        <x:f>IF(OR(E954="Concluído",A954&gt;=TODAY()),0,TODAY()-A954)</x:f>
        <x:v>0</x:v>
      </x:c>
      <x:c r="K954" s="40" t="str"/>
    </x:row>
    <x:row r="955">
      <x:c r="A955" s="34" t="n">
        <x:v>46448</x:v>
      </x:c>
      <x:c r="B955" s="40" t="str">
        <x:v>Inteligência Emocional</x:v>
      </x:c>
      <x:c r="C955" s="40" t="str">
        <x:v>124 - ELO 124: Estudar uma Matéria de Cada Vez Tem Eficácia para Ansiosos?</x:v>
      </x:c>
      <x:c r="D955" s="40" t="str">
        <x:v>Pdf</x:v>
      </x:c>
      <x:c r="E955" s="40" t="str">
        <x:v>Não iniciado</x:v>
      </x:c>
      <x:c r="F955" s="41" t="str"/>
      <x:c r="G955" s="42" t="str"/>
      <x:c r="H955" s="40" t="str">
        <x:v>Normal</x:v>
      </x:c>
      <x:c r="I955" s="40" t="str">
        <x:f>IF(E955="Concluído","Concluído",IF(A955&lt;TODAY(),"Atrasado",IF(A955=TODAY(),"Hoje","Futuro")))</x:f>
        <x:v>Futuro</x:v>
      </x:c>
      <x:c r="J955" s="43" t="n">
        <x:f>IF(OR(E955="Concluído",A955&gt;=TODAY()),0,TODAY()-A955)</x:f>
        <x:v>0</x:v>
      </x:c>
      <x:c r="K955" s="40" t="str"/>
    </x:row>
    <x:row r="956">
      <x:c r="A956" s="34" t="n">
        <x:v>46449</x:v>
      </x:c>
      <x:c r="B956" s="40" t="str">
        <x:v>Inteligência Emocional</x:v>
      </x:c>
      <x:c r="C956" s="40" t="str">
        <x:v>124 - ELO 124: Estudar uma Matéria de Cada Vez Tem Eficácia para Ansiosos?</x:v>
      </x:c>
      <x:c r="D956" s="40" t="str">
        <x:v>Pdf</x:v>
      </x:c>
      <x:c r="E956" s="40" t="str">
        <x:v>Não iniciado</x:v>
      </x:c>
      <x:c r="F956" s="41" t="str"/>
      <x:c r="G956" s="42" t="str"/>
      <x:c r="H956" s="40" t="str">
        <x:v>Normal</x:v>
      </x:c>
      <x:c r="I956" s="40" t="str">
        <x:f>IF(E956="Concluído","Concluído",IF(A956&lt;TODAY(),"Atrasado",IF(A956=TODAY(),"Hoje","Futuro")))</x:f>
        <x:v>Futuro</x:v>
      </x:c>
      <x:c r="J956" s="43" t="n">
        <x:f>IF(OR(E956="Concluído",A956&gt;=TODAY()),0,TODAY()-A956)</x:f>
        <x:v>0</x:v>
      </x:c>
      <x:c r="K956" s="40" t="str"/>
    </x:row>
    <x:row r="957">
      <x:c r="A957" s="34" t="n">
        <x:v>46449</x:v>
      </x:c>
      <x:c r="B957" s="40" t="str">
        <x:v>Inteligência Emocional</x:v>
      </x:c>
      <x:c r="C957" s="40" t="str">
        <x:v>125 - ELO 125: Dependência Emocional nos Estudos</x:v>
      </x:c>
      <x:c r="D957" s="40" t="str">
        <x:v>Pdf</x:v>
      </x:c>
      <x:c r="E957" s="40" t="str">
        <x:v>Não iniciado</x:v>
      </x:c>
      <x:c r="F957" s="41" t="str"/>
      <x:c r="G957" s="42" t="str"/>
      <x:c r="H957" s="40" t="str">
        <x:v>Normal</x:v>
      </x:c>
      <x:c r="I957" s="40" t="str">
        <x:f>IF(E957="Concluído","Concluído",IF(A957&lt;TODAY(),"Atrasado",IF(A957=TODAY(),"Hoje","Futuro")))</x:f>
        <x:v>Futuro</x:v>
      </x:c>
      <x:c r="J957" s="43" t="n">
        <x:f>IF(OR(E957="Concluído",A957&gt;=TODAY()),0,TODAY()-A957)</x:f>
        <x:v>0</x:v>
      </x:c>
      <x:c r="K957" s="40" t="str"/>
    </x:row>
    <x:row r="958">
      <x:c r="A958" s="34"/>
      <x:c r="F958" s="34"/>
      <x:c r="G958" s="36"/>
      <x:c r="J958" s="38"/>
    </x:row>
    <x:row r="959">
      <x:c r="A959" s="34"/>
      <x:c r="F959" s="34"/>
      <x:c r="G959" s="36"/>
      <x:c r="J959" s="38"/>
    </x:row>
    <x:row r="960">
      <x:c r="A960" s="34"/>
      <x:c r="F960" s="34"/>
      <x:c r="G960" s="36"/>
      <x:c r="J960" s="38"/>
    </x:row>
    <x:row r="961">
      <x:c r="A961" s="34"/>
      <x:c r="F961" s="34"/>
      <x:c r="G961" s="36"/>
      <x:c r="J961" s="38"/>
    </x:row>
    <x:row r="962">
      <x:c r="A962" s="34"/>
      <x:c r="F962" s="34"/>
      <x:c r="G962" s="36"/>
      <x:c r="J962" s="38"/>
    </x:row>
    <x:row r="963">
      <x:c r="A963" s="34"/>
      <x:c r="F963" s="34"/>
      <x:c r="G963" s="36"/>
      <x:c r="J963" s="38"/>
    </x:row>
    <x:row r="964">
      <x:c r="A964" s="34"/>
      <x:c r="F964" s="34"/>
      <x:c r="G964" s="36"/>
      <x:c r="J964" s="38"/>
    </x:row>
    <x:row r="965">
      <x:c r="A965" s="34"/>
      <x:c r="F965" s="34"/>
      <x:c r="G965" s="36"/>
      <x:c r="J965" s="38"/>
    </x:row>
    <x:row r="966">
      <x:c r="A966" s="34"/>
      <x:c r="F966" s="34"/>
      <x:c r="G966" s="36"/>
      <x:c r="J966" s="38"/>
    </x:row>
    <x:row r="967">
      <x:c r="A967" s="34"/>
      <x:c r="F967" s="34"/>
      <x:c r="G967" s="36"/>
      <x:c r="J967" s="38"/>
    </x:row>
    <x:row r="968">
      <x:c r="A968" s="34"/>
      <x:c r="F968" s="34"/>
      <x:c r="G968" s="36"/>
      <x:c r="J968" s="38"/>
    </x:row>
    <x:row r="969">
      <x:c r="A969" s="34"/>
      <x:c r="F969" s="34"/>
      <x:c r="G969" s="36"/>
      <x:c r="J969" s="38"/>
    </x:row>
    <x:row r="970">
      <x:c r="A970" s="34"/>
      <x:c r="F970" s="34"/>
      <x:c r="G970" s="36"/>
      <x:c r="J970" s="38"/>
    </x:row>
    <x:row r="971">
      <x:c r="A971" s="34"/>
      <x:c r="F971" s="34"/>
      <x:c r="G971" s="36"/>
      <x:c r="J971" s="38"/>
    </x:row>
    <x:row r="972">
      <x:c r="A972" s="34"/>
      <x:c r="F972" s="34"/>
      <x:c r="G972" s="36"/>
      <x:c r="J972" s="38"/>
    </x:row>
    <x:row r="973">
      <x:c r="A973" s="34"/>
      <x:c r="F973" s="34"/>
      <x:c r="G973" s="36"/>
      <x:c r="J973" s="38"/>
    </x:row>
    <x:row r="974">
      <x:c r="A974" s="34"/>
      <x:c r="F974" s="34"/>
      <x:c r="G974" s="36"/>
      <x:c r="J974" s="38"/>
    </x:row>
    <x:row r="975">
      <x:c r="A975" s="34"/>
      <x:c r="F975" s="34"/>
      <x:c r="G975" s="36"/>
      <x:c r="J975" s="38"/>
    </x:row>
    <x:row r="976">
      <x:c r="A976" s="34"/>
      <x:c r="F976" s="34"/>
      <x:c r="G976" s="36"/>
      <x:c r="J976" s="38"/>
    </x:row>
    <x:row r="977">
      <x:c r="A977" s="34"/>
      <x:c r="F977" s="34"/>
      <x:c r="G977" s="36"/>
      <x:c r="J977" s="38"/>
    </x:row>
    <x:row r="978">
      <x:c r="A978" s="34"/>
      <x:c r="F978" s="34"/>
      <x:c r="G978" s="36"/>
      <x:c r="J978" s="38"/>
    </x:row>
    <x:row r="979">
      <x:c r="A979" s="34"/>
      <x:c r="F979" s="34"/>
      <x:c r="G979" s="36"/>
      <x:c r="J979" s="38"/>
    </x:row>
    <x:row r="980">
      <x:c r="A980" s="34"/>
      <x:c r="F980" s="34"/>
      <x:c r="G980" s="36"/>
      <x:c r="J980" s="38"/>
    </x:row>
    <x:row r="981">
      <x:c r="A981" s="34"/>
      <x:c r="F981" s="34"/>
      <x:c r="G981" s="36"/>
      <x:c r="J981" s="38"/>
    </x:row>
    <x:row r="982">
      <x:c r="A982" s="34"/>
      <x:c r="F982" s="34"/>
      <x:c r="G982" s="36"/>
      <x:c r="J982" s="38"/>
    </x:row>
    <x:row r="983">
      <x:c r="A983" s="34"/>
      <x:c r="F983" s="34"/>
      <x:c r="G983" s="36"/>
      <x:c r="J983" s="38"/>
    </x:row>
    <x:row r="984">
      <x:c r="A984" s="34"/>
      <x:c r="F984" s="34"/>
      <x:c r="G984" s="36"/>
      <x:c r="J984" s="38"/>
    </x:row>
    <x:row r="985">
      <x:c r="A985" s="34"/>
      <x:c r="F985" s="34"/>
      <x:c r="G985" s="36"/>
      <x:c r="J985" s="38"/>
    </x:row>
    <x:row r="986">
      <x:c r="A986" s="34"/>
      <x:c r="F986" s="34"/>
      <x:c r="G986" s="36"/>
      <x:c r="J986" s="38"/>
    </x:row>
    <x:row r="987">
      <x:c r="A987" s="34"/>
      <x:c r="F987" s="34"/>
      <x:c r="G987" s="36"/>
      <x:c r="J987" s="38"/>
    </x:row>
    <x:row r="988">
      <x:c r="A988" s="34"/>
      <x:c r="F988" s="34"/>
      <x:c r="G988" s="36"/>
      <x:c r="J988" s="38"/>
    </x:row>
    <x:row r="989">
      <x:c r="A989" s="34"/>
      <x:c r="F989" s="34"/>
      <x:c r="G989" s="36"/>
      <x:c r="J989" s="38"/>
    </x:row>
    <x:row r="990">
      <x:c r="A990" s="34"/>
      <x:c r="F990" s="34"/>
      <x:c r="G990" s="36"/>
      <x:c r="J990" s="38"/>
    </x:row>
    <x:row r="991">
      <x:c r="A991" s="34"/>
      <x:c r="F991" s="34"/>
      <x:c r="G991" s="36"/>
      <x:c r="J991" s="38"/>
    </x:row>
    <x:row r="992">
      <x:c r="A992" s="34"/>
      <x:c r="F992" s="34"/>
      <x:c r="G992" s="36"/>
      <x:c r="J992" s="38"/>
    </x:row>
    <x:row r="993">
      <x:c r="A993" s="34"/>
      <x:c r="F993" s="34"/>
      <x:c r="G993" s="36"/>
      <x:c r="J993" s="38"/>
    </x:row>
    <x:row r="994">
      <x:c r="A994" s="34"/>
      <x:c r="F994" s="34"/>
      <x:c r="G994" s="36"/>
      <x:c r="J994" s="38"/>
    </x:row>
    <x:row r="995">
      <x:c r="A995" s="34"/>
      <x:c r="F995" s="34"/>
      <x:c r="G995" s="36"/>
      <x:c r="J995" s="38"/>
    </x:row>
    <x:row r="996">
      <x:c r="A996" s="34"/>
      <x:c r="F996" s="34"/>
      <x:c r="G996" s="36"/>
      <x:c r="J996" s="38"/>
    </x:row>
    <x:row r="997">
      <x:c r="A997" s="34"/>
      <x:c r="F997" s="34"/>
      <x:c r="G997" s="36"/>
      <x:c r="J997" s="38"/>
    </x:row>
    <x:row r="998">
      <x:c r="A998" s="34"/>
      <x:c r="F998" s="34"/>
      <x:c r="G998" s="36"/>
      <x:c r="J998" s="38"/>
    </x:row>
    <x:row r="999">
      <x:c r="A999" s="34"/>
      <x:c r="F999" s="34"/>
      <x:c r="G999" s="36"/>
      <x:c r="J999" s="38"/>
    </x:row>
    <x:row r="1000">
      <x:c r="A1000" s="34"/>
      <x:c r="F1000" s="34"/>
      <x:c r="G1000" s="36"/>
      <x:c r="J1000" s="38"/>
    </x:row>
    <x:row r="1001">
      <x:c r="A1001" s="34"/>
      <x:c r="F1001" s="34"/>
      <x:c r="G1001" s="36"/>
      <x:c r="J1001" s="38"/>
    </x:row>
    <x:row r="1002">
      <x:c r="A1002" s="34"/>
      <x:c r="F1002" s="34"/>
      <x:c r="G1002" s="36"/>
      <x:c r="J1002" s="38"/>
    </x:row>
    <x:row r="1003">
      <x:c r="A1003" s="34"/>
      <x:c r="F1003" s="34"/>
      <x:c r="G1003" s="36"/>
      <x:c r="J1003" s="38"/>
    </x:row>
    <x:row r="1004">
      <x:c r="A1004" s="34"/>
      <x:c r="F1004" s="34"/>
      <x:c r="G1004" s="36"/>
      <x:c r="J1004" s="38"/>
    </x:row>
    <x:row r="1005">
      <x:c r="A1005" s="34"/>
      <x:c r="F1005" s="34"/>
      <x:c r="G1005" s="36"/>
      <x:c r="J1005" s="38"/>
    </x:row>
    <x:row r="1006">
      <x:c r="A1006" s="34"/>
      <x:c r="F1006" s="34"/>
      <x:c r="G1006" s="36"/>
      <x:c r="J1006" s="38"/>
    </x:row>
    <x:row r="1007">
      <x:c r="A1007" s="34"/>
      <x:c r="F1007" s="34"/>
      <x:c r="G1007" s="36"/>
      <x:c r="J1007" s="38"/>
    </x:row>
    <x:row r="1008">
      <x:c r="A1008" s="34"/>
      <x:c r="F1008" s="34"/>
      <x:c r="G1008" s="36"/>
      <x:c r="J1008" s="38"/>
    </x:row>
    <x:row r="1009">
      <x:c r="A1009" s="34"/>
      <x:c r="F1009" s="34"/>
      <x:c r="G1009" s="36"/>
      <x:c r="J1009" s="38"/>
    </x:row>
    <x:row r="1010">
      <x:c r="A1010" s="34"/>
      <x:c r="F1010" s="34"/>
      <x:c r="G1010" s="36"/>
      <x:c r="J1010" s="38"/>
    </x:row>
    <x:row r="1011">
      <x:c r="A1011" s="34"/>
      <x:c r="F1011" s="34"/>
      <x:c r="G1011" s="36"/>
      <x:c r="J1011" s="38"/>
    </x:row>
    <x:row r="1012">
      <x:c r="A1012" s="34"/>
      <x:c r="F1012" s="34"/>
      <x:c r="G1012" s="36"/>
      <x:c r="J1012" s="38"/>
    </x:row>
    <x:row r="1013">
      <x:c r="A1013" s="34"/>
      <x:c r="F1013" s="34"/>
      <x:c r="G1013" s="36"/>
      <x:c r="J1013" s="38"/>
    </x:row>
    <x:row r="1014">
      <x:c r="A1014" s="34"/>
      <x:c r="F1014" s="34"/>
      <x:c r="G1014" s="36"/>
      <x:c r="J1014" s="38"/>
    </x:row>
    <x:row r="1015">
      <x:c r="A1015" s="34"/>
      <x:c r="F1015" s="34"/>
      <x:c r="G1015" s="36"/>
      <x:c r="J1015" s="38"/>
    </x:row>
    <x:row r="1016">
      <x:c r="A1016" s="34"/>
      <x:c r="F1016" s="34"/>
      <x:c r="G1016" s="36"/>
      <x:c r="J1016" s="38"/>
    </x:row>
    <x:row r="1017">
      <x:c r="A1017" s="34"/>
      <x:c r="F1017" s="34"/>
      <x:c r="G1017" s="36"/>
      <x:c r="J1017" s="38"/>
    </x:row>
    <x:row r="1018">
      <x:c r="A1018" s="34"/>
      <x:c r="F1018" s="34"/>
      <x:c r="G1018" s="36"/>
      <x:c r="J1018" s="38"/>
    </x:row>
    <x:row r="1019">
      <x:c r="A1019" s="34"/>
      <x:c r="F1019" s="34"/>
      <x:c r="G1019" s="36"/>
      <x:c r="J1019" s="38"/>
    </x:row>
    <x:row r="1020">
      <x:c r="A1020" s="34"/>
      <x:c r="F1020" s="34"/>
      <x:c r="G1020" s="36"/>
      <x:c r="J1020" s="38"/>
    </x:row>
    <x:row r="1021">
      <x:c r="A1021" s="34"/>
      <x:c r="F1021" s="34"/>
      <x:c r="G1021" s="36"/>
      <x:c r="J1021" s="38"/>
    </x:row>
    <x:row r="1022">
      <x:c r="A1022" s="34"/>
      <x:c r="F1022" s="34"/>
      <x:c r="G1022" s="36"/>
      <x:c r="J1022" s="38"/>
    </x:row>
    <x:row r="1023">
      <x:c r="A1023" s="34"/>
      <x:c r="F1023" s="34"/>
      <x:c r="G1023" s="36"/>
      <x:c r="J1023" s="38"/>
    </x:row>
    <x:row r="1024">
      <x:c r="A1024" s="34"/>
      <x:c r="F1024" s="34"/>
      <x:c r="G1024" s="36"/>
      <x:c r="J1024" s="38"/>
    </x:row>
    <x:row r="1025">
      <x:c r="A1025" s="34"/>
      <x:c r="F1025" s="34"/>
      <x:c r="G1025" s="36"/>
      <x:c r="J1025" s="38"/>
    </x:row>
    <x:row r="1026">
      <x:c r="A1026" s="34"/>
      <x:c r="F1026" s="34"/>
      <x:c r="G1026" s="36"/>
      <x:c r="J1026" s="38"/>
    </x:row>
    <x:row r="1027">
      <x:c r="A1027" s="34"/>
      <x:c r="F1027" s="34"/>
      <x:c r="G1027" s="36"/>
      <x:c r="J1027" s="38"/>
    </x:row>
    <x:row r="1028">
      <x:c r="A1028" s="34"/>
      <x:c r="F1028" s="34"/>
      <x:c r="G1028" s="36"/>
      <x:c r="J1028" s="38"/>
    </x:row>
    <x:row r="1029">
      <x:c r="A1029" s="34"/>
      <x:c r="F1029" s="34"/>
      <x:c r="G1029" s="36"/>
      <x:c r="J1029" s="38"/>
    </x:row>
    <x:row r="1030">
      <x:c r="A1030" s="34"/>
      <x:c r="F1030" s="34"/>
      <x:c r="G1030" s="36"/>
      <x:c r="J1030" s="38"/>
    </x:row>
    <x:row r="1031">
      <x:c r="A1031" s="34"/>
      <x:c r="F1031" s="34"/>
      <x:c r="G1031" s="36"/>
      <x:c r="J1031" s="38"/>
    </x:row>
    <x:row r="1032">
      <x:c r="A1032" s="34"/>
      <x:c r="F1032" s="34"/>
      <x:c r="G1032" s="36"/>
      <x:c r="J1032" s="38"/>
    </x:row>
    <x:row r="1033">
      <x:c r="A1033" s="34"/>
      <x:c r="F1033" s="34"/>
      <x:c r="G1033" s="36"/>
      <x:c r="J1033" s="38"/>
    </x:row>
    <x:row r="1034">
      <x:c r="A1034" s="34"/>
      <x:c r="F1034" s="34"/>
      <x:c r="G1034" s="36"/>
      <x:c r="J1034" s="38"/>
    </x:row>
    <x:row r="1035">
      <x:c r="A1035" s="34"/>
      <x:c r="F1035" s="34"/>
      <x:c r="G1035" s="36"/>
      <x:c r="J1035" s="38"/>
    </x:row>
    <x:row r="1036">
      <x:c r="A1036" s="34"/>
      <x:c r="F1036" s="34"/>
      <x:c r="G1036" s="36"/>
      <x:c r="J1036" s="38"/>
    </x:row>
    <x:row r="1037">
      <x:c r="A1037" s="34"/>
      <x:c r="F1037" s="34"/>
      <x:c r="G1037" s="36"/>
      <x:c r="J1037" s="38"/>
    </x:row>
    <x:row r="1038">
      <x:c r="A1038" s="34"/>
      <x:c r="F1038" s="34"/>
      <x:c r="G1038" s="36"/>
      <x:c r="J1038" s="38"/>
    </x:row>
    <x:row r="1039">
      <x:c r="A1039" s="34"/>
      <x:c r="F1039" s="34"/>
      <x:c r="G1039" s="36"/>
      <x:c r="J1039" s="38"/>
    </x:row>
    <x:row r="1040">
      <x:c r="A1040" s="34"/>
      <x:c r="F1040" s="34"/>
      <x:c r="G1040" s="36"/>
      <x:c r="J1040" s="38"/>
    </x:row>
    <x:row r="1041">
      <x:c r="A1041" s="34"/>
      <x:c r="F1041" s="34"/>
      <x:c r="G1041" s="36"/>
      <x:c r="J1041" s="38"/>
    </x:row>
    <x:row r="1042">
      <x:c r="A1042" s="34"/>
      <x:c r="F1042" s="34"/>
      <x:c r="G1042" s="36"/>
      <x:c r="J1042" s="38"/>
    </x:row>
    <x:row r="1043">
      <x:c r="A1043" s="34"/>
      <x:c r="F1043" s="34"/>
      <x:c r="G1043" s="36"/>
      <x:c r="J1043" s="38"/>
    </x:row>
    <x:row r="1044">
      <x:c r="A1044" s="34"/>
      <x:c r="F1044" s="34"/>
      <x:c r="G1044" s="36"/>
      <x:c r="J1044" s="38"/>
    </x:row>
    <x:row r="1045">
      <x:c r="A1045" s="34"/>
      <x:c r="F1045" s="34"/>
      <x:c r="G1045" s="36"/>
      <x:c r="J1045" s="38"/>
    </x:row>
    <x:row r="1046">
      <x:c r="A1046" s="34"/>
      <x:c r="F1046" s="34"/>
      <x:c r="G1046" s="36"/>
      <x:c r="J1046" s="38"/>
    </x:row>
    <x:row r="1047">
      <x:c r="A1047" s="34"/>
      <x:c r="F1047" s="34"/>
      <x:c r="G1047" s="36"/>
      <x:c r="J1047" s="38"/>
    </x:row>
    <x:row r="1048">
      <x:c r="A1048" s="34"/>
      <x:c r="F1048" s="34"/>
      <x:c r="G1048" s="36"/>
      <x:c r="J1048" s="38"/>
    </x:row>
    <x:row r="1049">
      <x:c r="A1049" s="34"/>
      <x:c r="F1049" s="34"/>
      <x:c r="G1049" s="36"/>
      <x:c r="J1049" s="38"/>
    </x:row>
    <x:row r="1050">
      <x:c r="A1050" s="34"/>
      <x:c r="F1050" s="34"/>
      <x:c r="G1050" s="36"/>
      <x:c r="J1050" s="38"/>
    </x:row>
    <x:row r="1051">
      <x:c r="A1051" s="34"/>
      <x:c r="F1051" s="34"/>
      <x:c r="G1051" s="36"/>
      <x:c r="J1051" s="38"/>
    </x:row>
    <x:row r="1052">
      <x:c r="A1052" s="34"/>
      <x:c r="F1052" s="34"/>
      <x:c r="G1052" s="36"/>
      <x:c r="J1052" s="38"/>
    </x:row>
    <x:row r="1053">
      <x:c r="A1053" s="34"/>
      <x:c r="F1053" s="34"/>
      <x:c r="G1053" s="36"/>
      <x:c r="J1053" s="38"/>
    </x:row>
    <x:row r="1054">
      <x:c r="A1054" s="34"/>
      <x:c r="F1054" s="34"/>
      <x:c r="G1054" s="36"/>
      <x:c r="J1054" s="38"/>
    </x:row>
    <x:row r="1055">
      <x:c r="A1055" s="34"/>
      <x:c r="F1055" s="34"/>
      <x:c r="G1055" s="36"/>
      <x:c r="J1055" s="38"/>
    </x:row>
    <x:row r="1056">
      <x:c r="A1056" s="34"/>
      <x:c r="F1056" s="34"/>
      <x:c r="G1056" s="36"/>
      <x:c r="J1056" s="38"/>
    </x:row>
    <x:row r="1057">
      <x:c r="A1057" s="34"/>
      <x:c r="F1057" s="34"/>
      <x:c r="G1057" s="36"/>
      <x:c r="J1057" s="38"/>
    </x:row>
    <x:row r="1058">
      <x:c r="A1058" s="34"/>
      <x:c r="F1058" s="34"/>
      <x:c r="G1058" s="36"/>
      <x:c r="J1058" s="38"/>
    </x:row>
    <x:row r="1059">
      <x:c r="A1059" s="34"/>
      <x:c r="F1059" s="34"/>
      <x:c r="G1059" s="36"/>
      <x:c r="J1059" s="38"/>
    </x:row>
    <x:row r="1060">
      <x:c r="A1060" s="34"/>
      <x:c r="F1060" s="34"/>
      <x:c r="G1060" s="36"/>
      <x:c r="J1060" s="38"/>
    </x:row>
    <x:row r="1061">
      <x:c r="A1061" s="34"/>
      <x:c r="F1061" s="34"/>
      <x:c r="G1061" s="36"/>
      <x:c r="J1061" s="38"/>
    </x:row>
    <x:row r="1062">
      <x:c r="A1062" s="34"/>
      <x:c r="F1062" s="34"/>
      <x:c r="G1062" s="36"/>
      <x:c r="J1062" s="38"/>
    </x:row>
    <x:row r="1063">
      <x:c r="A1063" s="34"/>
      <x:c r="F1063" s="34"/>
      <x:c r="G1063" s="36"/>
      <x:c r="J1063" s="38"/>
    </x:row>
    <x:row r="1064">
      <x:c r="A1064" s="34"/>
      <x:c r="F1064" s="34"/>
      <x:c r="G1064" s="36"/>
      <x:c r="J1064" s="38"/>
    </x:row>
    <x:row r="1065">
      <x:c r="A1065" s="34"/>
      <x:c r="F1065" s="34"/>
      <x:c r="G1065" s="36"/>
      <x:c r="J1065" s="38"/>
    </x:row>
    <x:row r="1066">
      <x:c r="A1066" s="34"/>
      <x:c r="F1066" s="34"/>
      <x:c r="G1066" s="36"/>
      <x:c r="J1066" s="38"/>
    </x:row>
    <x:row r="1067">
      <x:c r="A1067" s="34"/>
      <x:c r="F1067" s="34"/>
      <x:c r="G1067" s="36"/>
      <x:c r="J1067" s="38"/>
    </x:row>
    <x:row r="1068">
      <x:c r="A1068" s="34"/>
      <x:c r="F1068" s="34"/>
      <x:c r="G1068" s="36"/>
      <x:c r="J1068" s="38"/>
    </x:row>
    <x:row r="1069">
      <x:c r="A1069" s="34"/>
      <x:c r="F1069" s="34"/>
      <x:c r="G1069" s="36"/>
      <x:c r="J1069" s="38"/>
    </x:row>
    <x:row r="1070">
      <x:c r="A1070" s="34"/>
      <x:c r="F1070" s="34"/>
      <x:c r="G1070" s="36"/>
      <x:c r="J1070" s="38"/>
    </x:row>
    <x:row r="1071">
      <x:c r="A1071" s="34"/>
      <x:c r="F1071" s="34"/>
      <x:c r="G1071" s="36"/>
      <x:c r="J1071" s="38"/>
    </x:row>
    <x:row r="1072">
      <x:c r="A1072" s="34"/>
      <x:c r="F1072" s="34"/>
      <x:c r="G1072" s="36"/>
      <x:c r="J1072" s="38"/>
    </x:row>
    <x:row r="1073">
      <x:c r="A1073" s="34"/>
      <x:c r="F1073" s="34"/>
      <x:c r="G1073" s="36"/>
      <x:c r="J1073" s="38"/>
    </x:row>
    <x:row r="1074">
      <x:c r="A1074" s="34"/>
      <x:c r="F1074" s="34"/>
      <x:c r="G1074" s="36"/>
      <x:c r="J1074" s="38"/>
    </x:row>
    <x:row r="1075">
      <x:c r="A1075" s="34"/>
      <x:c r="F1075" s="34"/>
      <x:c r="G1075" s="36"/>
      <x:c r="J1075" s="38"/>
    </x:row>
    <x:row r="1076">
      <x:c r="A1076" s="34"/>
      <x:c r="F1076" s="34"/>
      <x:c r="G1076" s="36"/>
      <x:c r="J1076" s="38"/>
    </x:row>
    <x:row r="1077">
      <x:c r="A1077" s="34"/>
      <x:c r="F1077" s="34"/>
      <x:c r="G1077" s="36"/>
      <x:c r="J1077" s="38"/>
    </x:row>
    <x:row r="1078">
      <x:c r="A1078" s="34"/>
      <x:c r="F1078" s="34"/>
      <x:c r="G1078" s="36"/>
      <x:c r="J1078" s="38"/>
    </x:row>
    <x:row r="1079">
      <x:c r="A1079" s="34"/>
      <x:c r="F1079" s="34"/>
      <x:c r="G1079" s="36"/>
      <x:c r="J1079" s="38"/>
    </x:row>
    <x:row r="1080">
      <x:c r="A1080" s="34"/>
      <x:c r="F1080" s="34"/>
      <x:c r="G1080" s="36"/>
      <x:c r="J1080" s="38"/>
    </x:row>
    <x:row r="1081">
      <x:c r="A1081" s="34"/>
      <x:c r="F1081" s="34"/>
      <x:c r="G1081" s="36"/>
      <x:c r="J1081" s="38"/>
    </x:row>
    <x:row r="1082">
      <x:c r="A1082" s="34"/>
      <x:c r="F1082" s="34"/>
      <x:c r="G1082" s="36"/>
      <x:c r="J1082" s="38"/>
    </x:row>
    <x:row r="1083">
      <x:c r="A1083" s="34"/>
      <x:c r="F1083" s="34"/>
      <x:c r="G1083" s="36"/>
      <x:c r="J1083" s="38"/>
    </x:row>
    <x:row r="1084">
      <x:c r="A1084" s="34"/>
      <x:c r="F1084" s="34"/>
      <x:c r="G1084" s="36"/>
      <x:c r="J1084" s="38"/>
    </x:row>
    <x:row r="1085">
      <x:c r="A1085" s="34"/>
      <x:c r="F1085" s="34"/>
      <x:c r="G1085" s="36"/>
      <x:c r="J1085" s="38"/>
    </x:row>
    <x:row r="1086">
      <x:c r="A1086" s="34"/>
      <x:c r="F1086" s="34"/>
      <x:c r="G1086" s="36"/>
      <x:c r="J1086" s="38"/>
    </x:row>
    <x:row r="1087">
      <x:c r="A1087" s="34"/>
      <x:c r="F1087" s="34"/>
      <x:c r="G1087" s="36"/>
      <x:c r="J1087" s="38"/>
    </x:row>
    <x:row r="1088">
      <x:c r="A1088" s="34"/>
      <x:c r="F1088" s="34"/>
      <x:c r="G1088" s="36"/>
      <x:c r="J1088" s="38"/>
    </x:row>
    <x:row r="1089">
      <x:c r="A1089" s="34"/>
      <x:c r="F1089" s="34"/>
      <x:c r="G1089" s="36"/>
      <x:c r="J1089" s="38"/>
    </x:row>
    <x:row r="1090">
      <x:c r="A1090" s="34"/>
      <x:c r="F1090" s="34"/>
      <x:c r="G1090" s="36"/>
      <x:c r="J1090" s="38"/>
    </x:row>
    <x:row r="1091">
      <x:c r="A1091" s="34"/>
      <x:c r="F1091" s="34"/>
      <x:c r="G1091" s="36"/>
      <x:c r="J1091" s="38"/>
    </x:row>
    <x:row r="1092">
      <x:c r="A1092" s="34"/>
      <x:c r="F1092" s="34"/>
      <x:c r="G1092" s="36"/>
      <x:c r="J1092" s="38"/>
    </x:row>
    <x:row r="1093">
      <x:c r="A1093" s="34"/>
      <x:c r="F1093" s="34"/>
      <x:c r="G1093" s="36"/>
      <x:c r="J1093" s="38"/>
    </x:row>
    <x:row r="1094">
      <x:c r="A1094" s="34"/>
      <x:c r="F1094" s="34"/>
      <x:c r="G1094" s="36"/>
      <x:c r="J1094" s="38"/>
    </x:row>
    <x:row r="1095">
      <x:c r="A1095" s="34"/>
      <x:c r="F1095" s="34"/>
      <x:c r="G1095" s="36"/>
      <x:c r="J1095" s="38"/>
    </x:row>
    <x:row r="1096">
      <x:c r="A1096" s="34"/>
      <x:c r="F1096" s="34"/>
      <x:c r="G1096" s="36"/>
      <x:c r="J1096" s="38"/>
    </x:row>
    <x:row r="1097">
      <x:c r="A1097" s="34"/>
      <x:c r="F1097" s="34"/>
      <x:c r="G1097" s="36"/>
      <x:c r="J1097" s="38"/>
    </x:row>
    <x:row r="1098">
      <x:c r="A1098" s="34"/>
      <x:c r="F1098" s="34"/>
      <x:c r="G1098" s="36"/>
      <x:c r="J1098" s="38"/>
    </x:row>
    <x:row r="1099">
      <x:c r="A1099" s="34"/>
      <x:c r="F1099" s="34"/>
      <x:c r="G1099" s="36"/>
      <x:c r="J1099" s="38"/>
    </x:row>
    <x:row r="1100">
      <x:c r="A1100" s="34"/>
      <x:c r="F1100" s="34"/>
      <x:c r="G1100" s="36"/>
      <x:c r="J1100" s="38"/>
    </x:row>
    <x:row r="1101">
      <x:c r="A1101" s="34"/>
      <x:c r="F1101" s="34"/>
      <x:c r="G1101" s="36"/>
      <x:c r="J1101" s="38"/>
    </x:row>
    <x:row r="1102">
      <x:c r="A1102" s="34"/>
      <x:c r="F1102" s="34"/>
      <x:c r="G1102" s="36"/>
      <x:c r="J1102" s="38"/>
    </x:row>
    <x:row r="1103">
      <x:c r="A1103" s="34"/>
      <x:c r="F1103" s="34"/>
      <x:c r="G1103" s="36"/>
      <x:c r="J1103" s="38"/>
    </x:row>
    <x:row r="1104">
      <x:c r="A1104" s="34"/>
      <x:c r="F1104" s="34"/>
      <x:c r="G1104" s="36"/>
      <x:c r="J1104" s="38"/>
    </x:row>
    <x:row r="1105">
      <x:c r="A1105" s="34"/>
      <x:c r="F1105" s="34"/>
      <x:c r="G1105" s="36"/>
      <x:c r="J1105" s="38"/>
    </x:row>
    <x:row r="1106">
      <x:c r="A1106" s="34"/>
      <x:c r="F1106" s="34"/>
      <x:c r="G1106" s="36"/>
      <x:c r="J1106" s="38"/>
    </x:row>
    <x:row r="1107">
      <x:c r="A1107" s="34"/>
      <x:c r="F1107" s="34"/>
      <x:c r="G1107" s="36"/>
      <x:c r="J1107" s="38"/>
    </x:row>
    <x:row r="1108">
      <x:c r="A1108" s="34"/>
      <x:c r="F1108" s="34"/>
      <x:c r="G1108" s="36"/>
      <x:c r="J1108" s="38"/>
    </x:row>
    <x:row r="1109">
      <x:c r="A1109" s="34"/>
      <x:c r="F1109" s="34"/>
      <x:c r="G1109" s="36"/>
      <x:c r="J1109" s="38"/>
    </x:row>
    <x:row r="1110">
      <x:c r="A1110" s="34"/>
      <x:c r="F1110" s="34"/>
      <x:c r="G1110" s="36"/>
      <x:c r="J1110" s="38"/>
    </x:row>
    <x:row r="1111">
      <x:c r="A1111" s="34"/>
      <x:c r="F1111" s="34"/>
      <x:c r="G1111" s="36"/>
      <x:c r="J1111" s="38"/>
    </x:row>
    <x:row r="1112">
      <x:c r="A1112" s="34"/>
      <x:c r="F1112" s="34"/>
      <x:c r="G1112" s="36"/>
      <x:c r="J1112" s="38"/>
    </x:row>
    <x:row r="1113">
      <x:c r="A1113" s="34"/>
      <x:c r="F1113" s="34"/>
      <x:c r="G1113" s="36"/>
      <x:c r="J1113" s="38"/>
    </x:row>
    <x:row r="1114">
      <x:c r="A1114" s="34"/>
      <x:c r="F1114" s="34"/>
      <x:c r="G1114" s="36"/>
      <x:c r="J1114" s="38"/>
    </x:row>
    <x:row r="1115">
      <x:c r="A1115" s="34"/>
      <x:c r="F1115" s="34"/>
      <x:c r="G1115" s="36"/>
      <x:c r="J1115" s="38"/>
    </x:row>
    <x:row r="1116">
      <x:c r="A1116" s="34"/>
      <x:c r="F1116" s="34"/>
      <x:c r="G1116" s="36"/>
      <x:c r="J1116" s="38"/>
    </x:row>
    <x:row r="1117">
      <x:c r="A1117" s="34"/>
      <x:c r="F1117" s="34"/>
      <x:c r="G1117" s="36"/>
      <x:c r="J1117" s="38"/>
    </x:row>
    <x:row r="1118">
      <x:c r="A1118" s="34"/>
      <x:c r="F1118" s="34"/>
      <x:c r="G1118" s="36"/>
      <x:c r="J1118" s="38"/>
    </x:row>
    <x:row r="1119">
      <x:c r="A1119" s="34"/>
      <x:c r="F1119" s="34"/>
      <x:c r="G1119" s="36"/>
      <x:c r="J1119" s="38"/>
    </x:row>
    <x:row r="1120">
      <x:c r="A1120" s="34"/>
      <x:c r="F1120" s="34"/>
      <x:c r="G1120" s="36"/>
      <x:c r="J1120" s="38"/>
    </x:row>
    <x:row r="1121">
      <x:c r="A1121" s="34"/>
      <x:c r="F1121" s="34"/>
      <x:c r="G1121" s="36"/>
      <x:c r="J1121" s="38"/>
    </x:row>
    <x:row r="1122">
      <x:c r="A1122" s="34"/>
      <x:c r="F1122" s="34"/>
      <x:c r="G1122" s="36"/>
      <x:c r="J1122" s="38"/>
    </x:row>
    <x:row r="1123">
      <x:c r="A1123" s="34"/>
      <x:c r="F1123" s="34"/>
      <x:c r="G1123" s="36"/>
      <x:c r="J1123" s="38"/>
    </x:row>
    <x:row r="1124">
      <x:c r="A1124" s="34"/>
      <x:c r="F1124" s="34"/>
      <x:c r="G1124" s="36"/>
      <x:c r="J1124" s="38"/>
    </x:row>
    <x:row r="1125">
      <x:c r="A1125" s="34"/>
      <x:c r="F1125" s="34"/>
      <x:c r="G1125" s="36"/>
      <x:c r="J1125" s="38"/>
    </x:row>
    <x:row r="1126">
      <x:c r="A1126" s="34"/>
      <x:c r="F1126" s="34"/>
      <x:c r="G1126" s="36"/>
      <x:c r="J1126" s="38"/>
    </x:row>
    <x:row r="1127">
      <x:c r="A1127" s="34"/>
      <x:c r="F1127" s="34"/>
      <x:c r="G1127" s="36"/>
      <x:c r="J1127" s="38"/>
    </x:row>
    <x:row r="1128">
      <x:c r="A1128" s="34"/>
      <x:c r="F1128" s="34"/>
      <x:c r="G1128" s="36"/>
      <x:c r="J1128" s="38"/>
    </x:row>
    <x:row r="1129">
      <x:c r="A1129" s="34"/>
      <x:c r="F1129" s="34"/>
      <x:c r="G1129" s="36"/>
      <x:c r="J1129" s="38"/>
    </x:row>
    <x:row r="1130">
      <x:c r="A1130" s="34"/>
      <x:c r="F1130" s="34"/>
      <x:c r="G1130" s="36"/>
      <x:c r="J1130" s="38"/>
    </x:row>
    <x:row r="1131">
      <x:c r="A1131" s="34"/>
      <x:c r="F1131" s="34"/>
      <x:c r="G1131" s="36"/>
      <x:c r="J1131" s="38"/>
    </x:row>
    <x:row r="1132">
      <x:c r="A1132" s="34"/>
      <x:c r="F1132" s="34"/>
      <x:c r="G1132" s="36"/>
      <x:c r="J1132" s="38"/>
    </x:row>
    <x:row r="1133">
      <x:c r="A1133" s="34"/>
      <x:c r="F1133" s="34"/>
      <x:c r="G1133" s="36"/>
      <x:c r="J1133" s="38"/>
    </x:row>
    <x:row r="1134">
      <x:c r="A1134" s="34"/>
      <x:c r="F1134" s="34"/>
      <x:c r="G1134" s="36"/>
      <x:c r="J1134" s="38"/>
    </x:row>
    <x:row r="1135">
      <x:c r="A1135" s="34"/>
      <x:c r="F1135" s="34"/>
      <x:c r="G1135" s="36"/>
      <x:c r="J1135" s="38"/>
    </x:row>
    <x:row r="1136">
      <x:c r="A1136" s="34"/>
      <x:c r="F1136" s="34"/>
      <x:c r="G1136" s="36"/>
      <x:c r="J1136" s="38"/>
    </x:row>
    <x:row r="1137">
      <x:c r="A1137" s="34"/>
      <x:c r="F1137" s="34"/>
      <x:c r="G1137" s="36"/>
      <x:c r="J1137" s="38"/>
    </x:row>
    <x:row r="1138">
      <x:c r="A1138" s="34"/>
      <x:c r="F1138" s="34"/>
      <x:c r="G1138" s="36"/>
      <x:c r="J1138" s="38"/>
    </x:row>
    <x:row r="1139">
      <x:c r="A1139" s="34"/>
      <x:c r="F1139" s="34"/>
      <x:c r="G1139" s="36"/>
      <x:c r="J1139" s="38"/>
    </x:row>
    <x:row r="1140">
      <x:c r="A1140" s="34"/>
      <x:c r="F1140" s="34"/>
      <x:c r="G1140" s="36"/>
      <x:c r="J1140" s="38"/>
    </x:row>
    <x:row r="1141">
      <x:c r="A1141" s="34"/>
      <x:c r="F1141" s="34"/>
      <x:c r="G1141" s="36"/>
      <x:c r="J1141" s="38"/>
    </x:row>
    <x:row r="1142">
      <x:c r="A1142" s="34"/>
      <x:c r="F1142" s="34"/>
      <x:c r="G1142" s="36"/>
      <x:c r="J1142" s="38"/>
    </x:row>
    <x:row r="1143">
      <x:c r="A1143" s="34"/>
      <x:c r="F1143" s="34"/>
      <x:c r="G1143" s="36"/>
      <x:c r="J1143" s="38"/>
    </x:row>
    <x:row r="1144">
      <x:c r="A1144" s="34"/>
      <x:c r="F1144" s="34"/>
      <x:c r="G1144" s="36"/>
      <x:c r="J1144" s="38"/>
    </x:row>
    <x:row r="1145">
      <x:c r="A1145" s="34"/>
      <x:c r="F1145" s="34"/>
      <x:c r="G1145" s="36"/>
      <x:c r="J1145" s="38"/>
    </x:row>
    <x:row r="1146">
      <x:c r="A1146" s="34"/>
      <x:c r="F1146" s="34"/>
      <x:c r="G1146" s="36"/>
      <x:c r="J1146" s="38"/>
    </x:row>
    <x:row r="1147">
      <x:c r="A1147" s="34"/>
      <x:c r="F1147" s="34"/>
      <x:c r="G1147" s="36"/>
      <x:c r="J1147" s="38"/>
    </x:row>
    <x:row r="1148">
      <x:c r="A1148" s="34"/>
      <x:c r="F1148" s="34"/>
      <x:c r="G1148" s="36"/>
      <x:c r="J1148" s="38"/>
    </x:row>
    <x:row r="1149">
      <x:c r="A1149" s="34"/>
      <x:c r="F1149" s="34"/>
      <x:c r="G1149" s="36"/>
      <x:c r="J1149" s="38"/>
    </x:row>
    <x:row r="1150">
      <x:c r="A1150" s="34"/>
      <x:c r="F1150" s="34"/>
      <x:c r="G1150" s="36"/>
      <x:c r="J1150" s="38"/>
    </x:row>
    <x:row r="1151">
      <x:c r="A1151" s="34"/>
      <x:c r="F1151" s="34"/>
      <x:c r="G1151" s="36"/>
      <x:c r="J1151" s="38"/>
    </x:row>
    <x:row r="1152">
      <x:c r="A1152" s="34"/>
      <x:c r="F1152" s="34"/>
      <x:c r="G1152" s="36"/>
      <x:c r="J1152" s="38"/>
    </x:row>
    <x:row r="1153">
      <x:c r="A1153" s="34"/>
      <x:c r="F1153" s="34"/>
      <x:c r="G1153" s="36"/>
      <x:c r="J1153" s="38"/>
    </x:row>
    <x:row r="1154">
      <x:c r="A1154" s="34"/>
      <x:c r="F1154" s="34"/>
      <x:c r="G1154" s="36"/>
      <x:c r="J1154" s="38"/>
    </x:row>
    <x:row r="1155">
      <x:c r="A1155" s="34"/>
      <x:c r="F1155" s="34"/>
      <x:c r="G1155" s="36"/>
      <x:c r="J1155" s="38"/>
    </x:row>
    <x:row r="1156">
      <x:c r="A1156" s="34"/>
      <x:c r="F1156" s="34"/>
      <x:c r="G1156" s="36"/>
      <x:c r="J1156" s="38"/>
    </x:row>
    <x:row r="1157">
      <x:c r="A1157" s="34"/>
      <x:c r="F1157" s="34"/>
      <x:c r="G1157" s="36"/>
      <x:c r="J1157" s="38"/>
    </x:row>
    <x:row r="1158">
      <x:c r="A1158" s="34"/>
      <x:c r="F1158" s="34"/>
      <x:c r="G1158" s="36"/>
      <x:c r="J1158" s="38"/>
    </x:row>
    <x:row r="1159">
      <x:c r="A1159" s="34"/>
      <x:c r="F1159" s="34"/>
      <x:c r="G1159" s="36"/>
      <x:c r="J1159" s="38"/>
    </x:row>
    <x:row r="1160">
      <x:c r="A1160" s="34"/>
      <x:c r="F1160" s="34"/>
      <x:c r="G1160" s="36"/>
      <x:c r="J1160" s="38"/>
    </x:row>
    <x:row r="1161">
      <x:c r="A1161" s="34"/>
      <x:c r="F1161" s="34"/>
      <x:c r="G1161" s="36"/>
      <x:c r="J1161" s="38"/>
    </x:row>
    <x:row r="1162">
      <x:c r="A1162" s="34"/>
      <x:c r="F1162" s="34"/>
      <x:c r="G1162" s="36"/>
      <x:c r="J1162" s="38"/>
    </x:row>
    <x:row r="1163">
      <x:c r="A1163" s="34"/>
      <x:c r="F1163" s="34"/>
      <x:c r="G1163" s="36"/>
      <x:c r="J1163" s="38"/>
    </x:row>
    <x:row r="1164">
      <x:c r="A1164" s="34"/>
      <x:c r="F1164" s="34"/>
      <x:c r="G1164" s="36"/>
      <x:c r="J1164" s="38"/>
    </x:row>
    <x:row r="1165">
      <x:c r="A1165" s="34"/>
      <x:c r="F1165" s="34"/>
      <x:c r="G1165" s="36"/>
      <x:c r="J1165" s="38"/>
    </x:row>
    <x:row r="1166">
      <x:c r="A1166" s="34"/>
      <x:c r="F1166" s="34"/>
      <x:c r="G1166" s="36"/>
      <x:c r="J1166" s="38"/>
    </x:row>
    <x:row r="1167">
      <x:c r="A1167" s="34"/>
      <x:c r="F1167" s="34"/>
      <x:c r="G1167" s="36"/>
      <x:c r="J1167" s="38"/>
    </x:row>
    <x:row r="1168">
      <x:c r="A1168" s="34"/>
      <x:c r="F1168" s="34"/>
      <x:c r="G1168" s="36"/>
      <x:c r="J1168" s="38"/>
    </x:row>
    <x:row r="1169">
      <x:c r="A1169" s="34"/>
      <x:c r="F1169" s="34"/>
      <x:c r="G1169" s="36"/>
      <x:c r="J1169" s="38"/>
    </x:row>
    <x:row r="1170">
      <x:c r="A1170" s="34"/>
      <x:c r="F1170" s="34"/>
      <x:c r="G1170" s="36"/>
      <x:c r="J1170" s="38"/>
    </x:row>
    <x:row r="1171">
      <x:c r="A1171" s="34"/>
      <x:c r="F1171" s="34"/>
      <x:c r="G1171" s="36"/>
      <x:c r="J1171" s="38"/>
    </x:row>
    <x:row r="1172">
      <x:c r="A1172" s="34"/>
      <x:c r="F1172" s="34"/>
      <x:c r="G1172" s="36"/>
      <x:c r="J1172" s="38"/>
    </x:row>
    <x:row r="1173">
      <x:c r="A1173" s="34"/>
      <x:c r="F1173" s="34"/>
      <x:c r="G1173" s="36"/>
      <x:c r="J1173" s="38"/>
    </x:row>
    <x:row r="1174">
      <x:c r="A1174" s="34"/>
      <x:c r="F1174" s="34"/>
      <x:c r="G1174" s="36"/>
      <x:c r="J1174" s="38"/>
    </x:row>
    <x:row r="1175">
      <x:c r="A1175" s="34"/>
      <x:c r="F1175" s="34"/>
      <x:c r="G1175" s="36"/>
      <x:c r="J1175" s="38"/>
    </x:row>
    <x:row r="1176">
      <x:c r="A1176" s="34"/>
      <x:c r="F1176" s="34"/>
      <x:c r="G1176" s="36"/>
      <x:c r="J1176" s="38"/>
    </x:row>
    <x:row r="1177">
      <x:c r="A1177" s="34"/>
      <x:c r="F1177" s="34"/>
      <x:c r="G1177" s="36"/>
      <x:c r="J1177" s="38"/>
    </x:row>
    <x:row r="1178">
      <x:c r="A1178" s="34"/>
      <x:c r="F1178" s="34"/>
      <x:c r="G1178" s="36"/>
      <x:c r="J1178" s="38"/>
    </x:row>
    <x:row r="1179">
      <x:c r="A1179" s="34"/>
      <x:c r="F1179" s="34"/>
      <x:c r="G1179" s="36"/>
      <x:c r="J1179" s="38"/>
    </x:row>
    <x:row r="1180">
      <x:c r="A1180" s="34"/>
      <x:c r="F1180" s="34"/>
      <x:c r="G1180" s="36"/>
      <x:c r="J1180" s="38"/>
    </x:row>
    <x:row r="1181">
      <x:c r="A1181" s="34"/>
      <x:c r="F1181" s="34"/>
      <x:c r="G1181" s="36"/>
      <x:c r="J1181" s="38"/>
    </x:row>
    <x:row r="1182">
      <x:c r="A1182" s="34"/>
      <x:c r="F1182" s="34"/>
      <x:c r="G1182" s="36"/>
      <x:c r="J1182" s="38"/>
    </x:row>
    <x:row r="1183">
      <x:c r="A1183" s="34"/>
      <x:c r="F1183" s="34"/>
      <x:c r="G1183" s="36"/>
      <x:c r="J1183" s="38"/>
    </x:row>
    <x:row r="1184">
      <x:c r="A1184" s="34"/>
      <x:c r="F1184" s="34"/>
      <x:c r="G1184" s="36"/>
      <x:c r="J1184" s="38"/>
    </x:row>
    <x:row r="1185">
      <x:c r="A1185" s="34"/>
      <x:c r="F1185" s="34"/>
      <x:c r="G1185" s="36"/>
      <x:c r="J1185" s="38"/>
    </x:row>
    <x:row r="1186">
      <x:c r="A1186" s="34"/>
      <x:c r="F1186" s="34"/>
      <x:c r="G1186" s="36"/>
      <x:c r="J1186" s="38"/>
    </x:row>
    <x:row r="1187">
      <x:c r="A1187" s="34"/>
      <x:c r="F1187" s="34"/>
      <x:c r="G1187" s="36"/>
      <x:c r="J1187" s="38"/>
    </x:row>
    <x:row r="1188">
      <x:c r="A1188" s="34"/>
      <x:c r="F1188" s="34"/>
      <x:c r="G1188" s="36"/>
      <x:c r="J1188" s="38"/>
    </x:row>
    <x:row r="1189">
      <x:c r="A1189" s="34"/>
      <x:c r="F1189" s="34"/>
      <x:c r="G1189" s="36"/>
      <x:c r="J1189" s="38"/>
    </x:row>
    <x:row r="1190">
      <x:c r="A1190" s="34"/>
      <x:c r="F1190" s="34"/>
      <x:c r="G1190" s="36"/>
      <x:c r="J1190" s="38"/>
    </x:row>
    <x:row r="1191">
      <x:c r="A1191" s="34"/>
      <x:c r="F1191" s="34"/>
      <x:c r="G1191" s="36"/>
      <x:c r="J1191" s="38"/>
    </x:row>
    <x:row r="1192">
      <x:c r="A1192" s="34"/>
      <x:c r="F1192" s="34"/>
      <x:c r="G1192" s="36"/>
      <x:c r="J1192" s="38"/>
    </x:row>
    <x:row r="1193">
      <x:c r="A1193" s="34"/>
      <x:c r="F1193" s="34"/>
      <x:c r="G1193" s="36"/>
      <x:c r="J1193" s="38"/>
    </x:row>
    <x:row r="1194">
      <x:c r="A1194" s="34"/>
      <x:c r="F1194" s="34"/>
      <x:c r="G1194" s="36"/>
      <x:c r="J1194" s="38"/>
    </x:row>
    <x:row r="1195">
      <x:c r="A1195" s="34"/>
      <x:c r="F1195" s="34"/>
      <x:c r="G1195" s="36"/>
      <x:c r="J1195" s="38"/>
    </x:row>
    <x:row r="1196">
      <x:c r="A1196" s="34"/>
      <x:c r="F1196" s="34"/>
      <x:c r="G1196" s="36"/>
      <x:c r="J1196" s="38"/>
    </x:row>
    <x:row r="1197">
      <x:c r="A1197" s="34"/>
      <x:c r="F1197" s="34"/>
      <x:c r="G1197" s="36"/>
      <x:c r="J1197" s="38"/>
    </x:row>
    <x:row r="1198">
      <x:c r="A1198" s="34"/>
      <x:c r="F1198" s="34"/>
      <x:c r="G1198" s="36"/>
      <x:c r="J1198" s="38"/>
    </x:row>
    <x:row r="1199">
      <x:c r="A1199" s="34"/>
      <x:c r="F1199" s="34"/>
      <x:c r="G1199" s="36"/>
      <x:c r="J1199" s="38"/>
    </x:row>
    <x:row r="1200">
      <x:c r="A1200" s="34"/>
      <x:c r="F1200" s="34"/>
      <x:c r="G1200" s="36"/>
      <x:c r="J1200" s="38"/>
    </x:row>
    <x:row r="1201">
      <x:c r="A1201" s="34"/>
      <x:c r="F1201" s="34"/>
      <x:c r="G1201" s="36"/>
      <x:c r="J1201" s="38"/>
    </x:row>
    <x:row r="1202">
      <x:c r="A1202" s="34"/>
      <x:c r="F1202" s="34"/>
      <x:c r="G1202" s="36"/>
      <x:c r="J1202" s="38"/>
    </x:row>
    <x:row r="1203">
      <x:c r="A1203" s="34"/>
      <x:c r="F1203" s="34"/>
      <x:c r="G1203" s="36"/>
      <x:c r="J1203" s="38"/>
    </x:row>
    <x:row r="1204">
      <x:c r="A1204" s="34"/>
      <x:c r="F1204" s="34"/>
      <x:c r="G1204" s="36"/>
      <x:c r="J1204" s="38"/>
    </x:row>
    <x:row r="1205">
      <x:c r="A1205" s="34"/>
      <x:c r="F1205" s="34"/>
      <x:c r="G1205" s="36"/>
      <x:c r="J1205" s="38"/>
    </x:row>
    <x:row r="1206">
      <x:c r="A1206" s="34"/>
      <x:c r="F1206" s="34"/>
      <x:c r="G1206" s="36"/>
      <x:c r="J1206" s="38"/>
    </x:row>
    <x:row r="1207">
      <x:c r="A1207" s="34"/>
      <x:c r="F1207" s="34"/>
      <x:c r="G1207" s="36"/>
      <x:c r="J1207" s="38"/>
    </x:row>
    <x:row r="1208">
      <x:c r="A1208" s="34"/>
      <x:c r="F1208" s="34"/>
      <x:c r="G1208" s="36"/>
      <x:c r="J1208" s="38"/>
    </x:row>
    <x:row r="1209">
      <x:c r="A1209" s="34"/>
      <x:c r="F1209" s="34"/>
      <x:c r="G1209" s="36"/>
      <x:c r="J1209" s="38"/>
    </x:row>
    <x:row r="1210">
      <x:c r="A1210" s="34"/>
      <x:c r="F1210" s="34"/>
      <x:c r="G1210" s="36"/>
      <x:c r="J1210" s="38"/>
    </x:row>
    <x:row r="1211">
      <x:c r="A1211" s="34"/>
      <x:c r="F1211" s="34"/>
      <x:c r="G1211" s="36"/>
      <x:c r="J1211" s="38"/>
    </x:row>
    <x:row r="1212">
      <x:c r="A1212" s="34"/>
      <x:c r="F1212" s="34"/>
      <x:c r="G1212" s="36"/>
      <x:c r="J1212" s="38"/>
    </x:row>
    <x:row r="1213">
      <x:c r="A1213" s="34"/>
      <x:c r="F1213" s="34"/>
      <x:c r="G1213" s="36"/>
      <x:c r="J1213" s="38"/>
    </x:row>
    <x:row r="1214">
      <x:c r="A1214" s="34"/>
      <x:c r="F1214" s="34"/>
      <x:c r="G1214" s="36"/>
      <x:c r="J1214" s="38"/>
    </x:row>
    <x:row r="1215">
      <x:c r="A1215" s="34"/>
      <x:c r="F1215" s="34"/>
      <x:c r="G1215" s="36"/>
      <x:c r="J1215" s="38"/>
    </x:row>
    <x:row r="1216">
      <x:c r="A1216" s="34"/>
      <x:c r="F1216" s="34"/>
      <x:c r="G1216" s="36"/>
      <x:c r="J1216" s="38"/>
    </x:row>
    <x:row r="1217">
      <x:c r="A1217" s="34"/>
      <x:c r="F1217" s="34"/>
      <x:c r="G1217" s="36"/>
      <x:c r="J1217" s="38"/>
    </x:row>
    <x:row r="1218">
      <x:c r="A1218" s="34"/>
      <x:c r="F1218" s="34"/>
      <x:c r="G1218" s="36"/>
      <x:c r="J1218" s="38"/>
    </x:row>
    <x:row r="1219">
      <x:c r="A1219" s="34"/>
      <x:c r="F1219" s="34"/>
      <x:c r="G1219" s="36"/>
      <x:c r="J1219" s="38"/>
    </x:row>
    <x:row r="1220">
      <x:c r="A1220" s="34"/>
      <x:c r="F1220" s="34"/>
      <x:c r="G1220" s="36"/>
      <x:c r="J1220" s="38"/>
    </x:row>
    <x:row r="1221">
      <x:c r="A1221" s="34"/>
      <x:c r="F1221" s="34"/>
      <x:c r="G1221" s="36"/>
      <x:c r="J1221" s="38"/>
    </x:row>
    <x:row r="1222">
      <x:c r="A1222" s="34"/>
      <x:c r="F1222" s="34"/>
      <x:c r="G1222" s="36"/>
      <x:c r="J1222" s="38"/>
    </x:row>
    <x:row r="1223">
      <x:c r="A1223" s="34"/>
      <x:c r="F1223" s="34"/>
      <x:c r="G1223" s="36"/>
      <x:c r="J1223" s="38"/>
    </x:row>
    <x:row r="1224">
      <x:c r="A1224" s="34"/>
      <x:c r="F1224" s="34"/>
      <x:c r="G1224" s="36"/>
      <x:c r="J1224" s="38"/>
    </x:row>
    <x:row r="1225">
      <x:c r="A1225" s="34"/>
      <x:c r="F1225" s="34"/>
      <x:c r="G1225" s="36"/>
      <x:c r="J1225" s="38"/>
    </x:row>
    <x:row r="1226">
      <x:c r="A1226" s="34"/>
      <x:c r="F1226" s="34"/>
      <x:c r="G1226" s="36"/>
      <x:c r="J1226" s="38"/>
    </x:row>
    <x:row r="1227">
      <x:c r="A1227" s="34"/>
      <x:c r="F1227" s="34"/>
      <x:c r="G1227" s="36"/>
      <x:c r="J1227" s="38"/>
    </x:row>
    <x:row r="1228">
      <x:c r="A1228" s="34"/>
      <x:c r="F1228" s="34"/>
      <x:c r="G1228" s="36"/>
      <x:c r="J1228" s="38"/>
    </x:row>
    <x:row r="1229">
      <x:c r="A1229" s="34"/>
      <x:c r="F1229" s="34"/>
      <x:c r="G1229" s="36"/>
      <x:c r="J1229" s="38"/>
    </x:row>
    <x:row r="1230">
      <x:c r="A1230" s="34"/>
      <x:c r="F1230" s="34"/>
      <x:c r="G1230" s="36"/>
      <x:c r="J1230" s="38"/>
    </x:row>
    <x:row r="1231">
      <x:c r="A1231" s="34"/>
      <x:c r="F1231" s="34"/>
      <x:c r="G1231" s="36"/>
      <x:c r="J1231" s="38"/>
    </x:row>
    <x:row r="1232">
      <x:c r="A1232" s="34"/>
      <x:c r="F1232" s="34"/>
      <x:c r="G1232" s="36"/>
      <x:c r="J1232" s="38"/>
    </x:row>
    <x:row r="1233">
      <x:c r="A1233" s="34"/>
      <x:c r="F1233" s="34"/>
      <x:c r="G1233" s="36"/>
      <x:c r="J1233" s="38"/>
    </x:row>
    <x:row r="1234">
      <x:c r="A1234" s="34"/>
      <x:c r="F1234" s="34"/>
      <x:c r="G1234" s="36"/>
      <x:c r="J1234" s="38"/>
    </x:row>
    <x:row r="1235">
      <x:c r="A1235" s="34"/>
      <x:c r="F1235" s="34"/>
      <x:c r="G1235" s="36"/>
      <x:c r="J1235" s="38"/>
    </x:row>
    <x:row r="1236">
      <x:c r="A1236" s="34"/>
      <x:c r="F1236" s="34"/>
      <x:c r="G1236" s="36"/>
      <x:c r="J1236" s="38"/>
    </x:row>
    <x:row r="1237">
      <x:c r="A1237" s="34"/>
      <x:c r="F1237" s="34"/>
      <x:c r="G1237" s="36"/>
      <x:c r="J1237" s="38"/>
    </x:row>
    <x:row r="1238">
      <x:c r="A1238" s="34"/>
      <x:c r="F1238" s="34"/>
      <x:c r="G1238" s="36"/>
      <x:c r="J1238" s="38"/>
    </x:row>
    <x:row r="1239">
      <x:c r="A1239" s="34"/>
      <x:c r="F1239" s="34"/>
      <x:c r="G1239" s="36"/>
      <x:c r="J1239" s="38"/>
    </x:row>
    <x:row r="1240">
      <x:c r="A1240" s="34"/>
      <x:c r="F1240" s="34"/>
      <x:c r="G1240" s="36"/>
      <x:c r="J1240" s="38"/>
    </x:row>
    <x:row r="1241">
      <x:c r="A1241" s="34"/>
      <x:c r="F1241" s="34"/>
      <x:c r="G1241" s="36"/>
      <x:c r="J1241" s="38"/>
    </x:row>
    <x:row r="1242">
      <x:c r="A1242" s="34"/>
      <x:c r="F1242" s="34"/>
      <x:c r="G1242" s="36"/>
      <x:c r="J1242" s="38"/>
    </x:row>
    <x:row r="1243">
      <x:c r="A1243" s="34"/>
      <x:c r="F1243" s="34"/>
      <x:c r="G1243" s="36"/>
      <x:c r="J1243" s="38"/>
    </x:row>
    <x:row r="1244">
      <x:c r="A1244" s="34"/>
      <x:c r="F1244" s="34"/>
      <x:c r="G1244" s="36"/>
      <x:c r="J1244" s="38"/>
    </x:row>
    <x:row r="1245">
      <x:c r="A1245" s="34"/>
      <x:c r="F1245" s="34"/>
      <x:c r="G1245" s="36"/>
      <x:c r="J1245" s="38"/>
    </x:row>
    <x:row r="1246">
      <x:c r="A1246" s="34"/>
      <x:c r="F1246" s="34"/>
      <x:c r="G1246" s="36"/>
      <x:c r="J1246" s="38"/>
    </x:row>
    <x:row r="1247">
      <x:c r="A1247" s="34"/>
      <x:c r="F1247" s="34"/>
      <x:c r="G1247" s="36"/>
      <x:c r="J1247" s="38"/>
    </x:row>
    <x:row r="1248">
      <x:c r="A1248" s="34"/>
      <x:c r="F1248" s="34"/>
      <x:c r="G1248" s="36"/>
      <x:c r="J1248" s="38"/>
    </x:row>
    <x:row r="1249">
      <x:c r="A1249" s="34"/>
      <x:c r="F1249" s="34"/>
      <x:c r="G1249" s="36"/>
      <x:c r="J1249" s="38"/>
    </x:row>
    <x:row r="1250">
      <x:c r="A1250" s="34"/>
      <x:c r="F1250" s="34"/>
      <x:c r="G1250" s="36"/>
      <x:c r="J1250" s="38"/>
    </x:row>
    <x:row r="1251">
      <x:c r="A1251" s="34"/>
      <x:c r="F1251" s="34"/>
      <x:c r="G1251" s="36"/>
      <x:c r="J1251" s="38"/>
    </x:row>
    <x:row r="1252">
      <x:c r="A1252" s="34"/>
      <x:c r="F1252" s="34"/>
      <x:c r="G1252" s="36"/>
      <x:c r="J1252" s="38"/>
    </x:row>
    <x:row r="1253">
      <x:c r="A1253" s="34"/>
      <x:c r="F1253" s="34"/>
      <x:c r="G1253" s="36"/>
      <x:c r="J1253" s="38"/>
    </x:row>
    <x:row r="1254">
      <x:c r="A1254" s="34"/>
      <x:c r="F1254" s="34"/>
      <x:c r="G1254" s="36"/>
      <x:c r="J1254" s="38"/>
    </x:row>
    <x:row r="1255">
      <x:c r="A1255" s="34"/>
      <x:c r="F1255" s="34"/>
      <x:c r="G1255" s="36"/>
      <x:c r="J1255" s="38"/>
    </x:row>
    <x:row r="1256">
      <x:c r="A1256" s="34"/>
      <x:c r="F1256" s="34"/>
      <x:c r="G1256" s="36"/>
      <x:c r="J1256" s="38"/>
    </x:row>
    <x:row r="1257">
      <x:c r="A1257" s="34"/>
      <x:c r="F1257" s="34"/>
      <x:c r="G1257" s="36"/>
      <x:c r="J1257" s="38"/>
    </x:row>
    <x:row r="1258">
      <x:c r="A1258" s="34"/>
      <x:c r="F1258" s="34"/>
      <x:c r="G1258" s="36"/>
      <x:c r="J1258" s="38"/>
    </x:row>
    <x:row r="1259">
      <x:c r="A1259" s="34"/>
      <x:c r="F1259" s="34"/>
      <x:c r="G1259" s="36"/>
      <x:c r="J1259" s="38"/>
    </x:row>
    <x:row r="1260">
      <x:c r="A1260" s="34"/>
      <x:c r="F1260" s="34"/>
      <x:c r="G1260" s="36"/>
      <x:c r="J1260" s="38"/>
    </x:row>
    <x:row r="1261">
      <x:c r="A1261" s="34"/>
      <x:c r="F1261" s="34"/>
      <x:c r="G1261" s="36"/>
      <x:c r="J1261" s="38"/>
    </x:row>
    <x:row r="1262">
      <x:c r="A1262" s="34"/>
      <x:c r="F1262" s="34"/>
      <x:c r="G1262" s="36"/>
      <x:c r="J1262" s="38"/>
    </x:row>
    <x:row r="1263">
      <x:c r="A1263" s="34"/>
      <x:c r="F1263" s="34"/>
      <x:c r="G1263" s="36"/>
      <x:c r="J1263" s="38"/>
    </x:row>
    <x:row r="1264">
      <x:c r="A1264" s="34"/>
      <x:c r="F1264" s="34"/>
      <x:c r="G1264" s="36"/>
      <x:c r="J1264" s="38"/>
    </x:row>
    <x:row r="1265">
      <x:c r="A1265" s="34"/>
      <x:c r="F1265" s="34"/>
      <x:c r="G1265" s="36"/>
      <x:c r="J1265" s="38"/>
    </x:row>
    <x:row r="1266">
      <x:c r="A1266" s="34"/>
      <x:c r="F1266" s="34"/>
      <x:c r="G1266" s="36"/>
      <x:c r="J1266" s="38"/>
    </x:row>
    <x:row r="1267">
      <x:c r="A1267" s="34"/>
      <x:c r="F1267" s="34"/>
      <x:c r="G1267" s="36"/>
      <x:c r="J1267" s="38"/>
    </x:row>
    <x:row r="1268">
      <x:c r="A1268" s="34"/>
      <x:c r="F1268" s="34"/>
      <x:c r="G1268" s="36"/>
      <x:c r="J1268" s="38"/>
    </x:row>
    <x:row r="1269">
      <x:c r="A1269" s="34"/>
      <x:c r="F1269" s="34"/>
      <x:c r="G1269" s="36"/>
      <x:c r="J1269" s="38"/>
    </x:row>
    <x:row r="1270">
      <x:c r="A1270" s="34"/>
      <x:c r="F1270" s="34"/>
      <x:c r="G1270" s="36"/>
      <x:c r="J1270" s="38"/>
    </x:row>
    <x:row r="1271">
      <x:c r="A1271" s="34"/>
      <x:c r="F1271" s="34"/>
      <x:c r="G1271" s="36"/>
      <x:c r="J1271" s="38"/>
    </x:row>
    <x:row r="1272">
      <x:c r="A1272" s="34"/>
      <x:c r="F1272" s="34"/>
      <x:c r="G1272" s="36"/>
      <x:c r="J1272" s="38"/>
    </x:row>
    <x:row r="1273">
      <x:c r="A1273" s="34"/>
      <x:c r="F1273" s="34"/>
      <x:c r="G1273" s="36"/>
      <x:c r="J1273" s="38"/>
    </x:row>
    <x:row r="1274">
      <x:c r="A1274" s="34"/>
      <x:c r="F1274" s="34"/>
      <x:c r="G1274" s="36"/>
      <x:c r="J1274" s="38"/>
    </x:row>
    <x:row r="1275">
      <x:c r="A1275" s="34"/>
      <x:c r="F1275" s="34"/>
      <x:c r="G1275" s="36"/>
      <x:c r="J1275" s="38"/>
    </x:row>
    <x:row r="1276">
      <x:c r="A1276" s="34"/>
      <x:c r="F1276" s="34"/>
      <x:c r="G1276" s="36"/>
      <x:c r="J1276" s="38"/>
    </x:row>
    <x:row r="1277">
      <x:c r="A1277" s="34"/>
      <x:c r="F1277" s="34"/>
      <x:c r="G1277" s="36"/>
      <x:c r="J1277" s="38"/>
    </x:row>
    <x:row r="1278">
      <x:c r="A1278" s="34"/>
      <x:c r="F1278" s="34"/>
      <x:c r="G1278" s="36"/>
      <x:c r="J1278" s="38"/>
    </x:row>
    <x:row r="1279">
      <x:c r="A1279" s="34"/>
      <x:c r="F1279" s="34"/>
      <x:c r="G1279" s="36"/>
      <x:c r="J1279" s="38"/>
    </x:row>
    <x:row r="1280">
      <x:c r="A1280" s="34"/>
      <x:c r="F1280" s="34"/>
      <x:c r="G1280" s="36"/>
      <x:c r="J1280" s="38"/>
    </x:row>
    <x:row r="1281">
      <x:c r="A1281" s="34"/>
      <x:c r="F1281" s="34"/>
      <x:c r="G1281" s="36"/>
      <x:c r="J1281" s="38"/>
    </x:row>
    <x:row r="1282">
      <x:c r="A1282" s="34"/>
      <x:c r="F1282" s="34"/>
      <x:c r="G1282" s="36"/>
      <x:c r="J1282" s="38"/>
    </x:row>
    <x:row r="1283">
      <x:c r="A1283" s="34"/>
      <x:c r="F1283" s="34"/>
      <x:c r="G1283" s="36"/>
      <x:c r="J1283" s="38"/>
    </x:row>
    <x:row r="1284">
      <x:c r="A1284" s="34"/>
      <x:c r="F1284" s="34"/>
      <x:c r="G1284" s="36"/>
      <x:c r="J1284" s="38"/>
    </x:row>
    <x:row r="1285">
      <x:c r="A1285" s="34"/>
      <x:c r="F1285" s="34"/>
      <x:c r="G1285" s="36"/>
      <x:c r="J1285" s="38"/>
    </x:row>
    <x:row r="1286">
      <x:c r="A1286" s="34"/>
      <x:c r="F1286" s="34"/>
      <x:c r="G1286" s="36"/>
      <x:c r="J1286" s="38"/>
    </x:row>
    <x:row r="1287">
      <x:c r="A1287" s="34"/>
      <x:c r="F1287" s="34"/>
      <x:c r="G1287" s="36"/>
      <x:c r="J1287" s="38"/>
    </x:row>
    <x:row r="1288">
      <x:c r="A1288" s="34"/>
      <x:c r="F1288" s="34"/>
      <x:c r="G1288" s="36"/>
      <x:c r="J1288" s="38"/>
    </x:row>
    <x:row r="1289">
      <x:c r="A1289" s="34"/>
      <x:c r="F1289" s="34"/>
      <x:c r="G1289" s="36"/>
      <x:c r="J1289" s="38"/>
    </x:row>
    <x:row r="1290">
      <x:c r="A1290" s="34"/>
      <x:c r="F1290" s="34"/>
      <x:c r="G1290" s="36"/>
      <x:c r="J1290" s="38"/>
    </x:row>
    <x:row r="1291">
      <x:c r="A1291" s="34"/>
      <x:c r="F1291" s="34"/>
      <x:c r="G1291" s="36"/>
      <x:c r="J1291" s="38"/>
    </x:row>
    <x:row r="1292">
      <x:c r="A1292" s="34"/>
      <x:c r="F1292" s="34"/>
      <x:c r="G1292" s="36"/>
      <x:c r="J1292" s="38"/>
    </x:row>
    <x:row r="1293">
      <x:c r="A1293" s="34"/>
      <x:c r="F1293" s="34"/>
      <x:c r="G1293" s="36"/>
      <x:c r="J1293" s="38"/>
    </x:row>
    <x:row r="1294">
      <x:c r="A1294" s="34"/>
      <x:c r="F1294" s="34"/>
      <x:c r="G1294" s="36"/>
      <x:c r="J1294" s="38"/>
    </x:row>
    <x:row r="1295">
      <x:c r="A1295" s="34"/>
      <x:c r="F1295" s="34"/>
      <x:c r="G1295" s="36"/>
      <x:c r="J1295" s="38"/>
    </x:row>
    <x:row r="1296">
      <x:c r="A1296" s="34"/>
      <x:c r="F1296" s="34"/>
      <x:c r="G1296" s="36"/>
      <x:c r="J1296" s="38"/>
    </x:row>
    <x:row r="1297">
      <x:c r="A1297" s="34"/>
      <x:c r="F1297" s="34"/>
      <x:c r="G1297" s="36"/>
      <x:c r="J1297" s="38"/>
    </x:row>
    <x:row r="1298">
      <x:c r="A1298" s="34"/>
      <x:c r="F1298" s="34"/>
      <x:c r="G1298" s="36"/>
      <x:c r="J1298" s="38"/>
    </x:row>
    <x:row r="1299">
      <x:c r="A1299" s="34"/>
      <x:c r="F1299" s="34"/>
      <x:c r="G1299" s="36"/>
      <x:c r="J1299" s="38"/>
    </x:row>
    <x:row r="1300">
      <x:c r="A1300" s="34"/>
      <x:c r="F1300" s="34"/>
      <x:c r="G1300" s="36"/>
      <x:c r="J1300" s="38"/>
    </x:row>
    <x:row r="1301">
      <x:c r="A1301" s="34"/>
      <x:c r="F1301" s="34"/>
      <x:c r="G1301" s="36"/>
      <x:c r="J1301" s="38"/>
    </x:row>
    <x:row r="1302">
      <x:c r="A1302" s="34"/>
      <x:c r="F1302" s="34"/>
      <x:c r="G1302" s="36"/>
      <x:c r="J1302" s="38"/>
    </x:row>
    <x:row r="1303">
      <x:c r="A1303" s="34"/>
      <x:c r="F1303" s="34"/>
      <x:c r="G1303" s="36"/>
      <x:c r="J1303" s="38"/>
    </x:row>
    <x:row r="1304">
      <x:c r="A1304" s="34"/>
      <x:c r="F1304" s="34"/>
      <x:c r="G1304" s="36"/>
      <x:c r="J1304" s="38"/>
    </x:row>
    <x:row r="1305">
      <x:c r="A1305" s="34"/>
      <x:c r="F1305" s="34"/>
      <x:c r="G1305" s="36"/>
      <x:c r="J1305" s="38"/>
    </x:row>
    <x:row r="1306">
      <x:c r="A1306" s="34"/>
      <x:c r="F1306" s="34"/>
      <x:c r="G1306" s="36"/>
      <x:c r="J1306" s="38"/>
    </x:row>
    <x:row r="1307">
      <x:c r="A1307" s="34"/>
      <x:c r="F1307" s="34"/>
      <x:c r="G1307" s="36"/>
      <x:c r="J1307" s="38"/>
    </x:row>
    <x:row r="1308">
      <x:c r="A1308" s="34"/>
      <x:c r="F1308" s="34"/>
      <x:c r="G1308" s="36"/>
      <x:c r="J1308" s="38"/>
    </x:row>
    <x:row r="1309">
      <x:c r="A1309" s="34"/>
      <x:c r="F1309" s="34"/>
      <x:c r="G1309" s="36"/>
      <x:c r="J1309" s="38"/>
    </x:row>
    <x:row r="1310">
      <x:c r="A1310" s="34"/>
      <x:c r="F1310" s="34"/>
      <x:c r="G1310" s="36"/>
      <x:c r="J1310" s="38"/>
    </x:row>
    <x:row r="1311">
      <x:c r="A1311" s="34"/>
      <x:c r="F1311" s="34"/>
      <x:c r="G1311" s="36"/>
      <x:c r="J1311" s="38"/>
    </x:row>
    <x:row r="1312">
      <x:c r="A1312" s="34"/>
      <x:c r="F1312" s="34"/>
      <x:c r="G1312" s="36"/>
      <x:c r="J1312" s="38"/>
    </x:row>
    <x:row r="1313">
      <x:c r="A1313" s="34"/>
      <x:c r="F1313" s="34"/>
      <x:c r="G1313" s="36"/>
      <x:c r="J1313" s="38"/>
    </x:row>
    <x:row r="1314">
      <x:c r="A1314" s="34"/>
      <x:c r="F1314" s="34"/>
      <x:c r="G1314" s="36"/>
      <x:c r="J1314" s="38"/>
    </x:row>
    <x:row r="1315">
      <x:c r="A1315" s="34"/>
      <x:c r="F1315" s="34"/>
      <x:c r="G1315" s="36"/>
      <x:c r="J1315" s="38"/>
    </x:row>
    <x:row r="1316">
      <x:c r="A1316" s="34"/>
      <x:c r="F1316" s="34"/>
      <x:c r="G1316" s="36"/>
      <x:c r="J1316" s="38"/>
    </x:row>
    <x:row r="1317">
      <x:c r="A1317" s="34"/>
      <x:c r="F1317" s="34"/>
      <x:c r="G1317" s="36"/>
      <x:c r="J1317" s="38"/>
    </x:row>
    <x:row r="1318">
      <x:c r="A1318" s="34"/>
      <x:c r="F1318" s="34"/>
      <x:c r="G1318" s="36"/>
      <x:c r="J1318" s="38"/>
    </x:row>
    <x:row r="1319">
      <x:c r="A1319" s="34"/>
      <x:c r="F1319" s="34"/>
      <x:c r="G1319" s="36"/>
      <x:c r="J1319" s="38"/>
    </x:row>
    <x:row r="1320">
      <x:c r="A1320" s="34"/>
      <x:c r="F1320" s="34"/>
      <x:c r="G1320" s="36"/>
      <x:c r="J1320" s="38"/>
    </x:row>
    <x:row r="1321">
      <x:c r="A1321" s="34"/>
      <x:c r="F1321" s="34"/>
      <x:c r="G1321" s="36"/>
      <x:c r="J1321" s="38"/>
    </x:row>
    <x:row r="1322">
      <x:c r="A1322" s="34"/>
      <x:c r="F1322" s="34"/>
      <x:c r="G1322" s="36"/>
      <x:c r="J1322" s="38"/>
    </x:row>
    <x:row r="1323">
      <x:c r="A1323" s="34"/>
      <x:c r="F1323" s="34"/>
      <x:c r="G1323" s="36"/>
      <x:c r="J1323" s="38"/>
    </x:row>
    <x:row r="1324">
      <x:c r="A1324" s="34"/>
      <x:c r="F1324" s="34"/>
      <x:c r="G1324" s="36"/>
      <x:c r="J1324" s="38"/>
    </x:row>
    <x:row r="1325">
      <x:c r="A1325" s="34"/>
      <x:c r="F1325" s="34"/>
      <x:c r="G1325" s="36"/>
      <x:c r="J1325" s="38"/>
    </x:row>
    <x:row r="1326">
      <x:c r="A1326" s="34"/>
      <x:c r="F1326" s="34"/>
      <x:c r="G1326" s="36"/>
      <x:c r="J1326" s="38"/>
    </x:row>
    <x:row r="1327">
      <x:c r="A1327" s="34"/>
      <x:c r="F1327" s="34"/>
      <x:c r="G1327" s="36"/>
      <x:c r="J1327" s="38"/>
    </x:row>
    <x:row r="1328">
      <x:c r="A1328" s="34"/>
      <x:c r="F1328" s="34"/>
      <x:c r="G1328" s="36"/>
      <x:c r="J1328" s="38"/>
    </x:row>
    <x:row r="1329">
      <x:c r="A1329" s="34"/>
      <x:c r="F1329" s="34"/>
      <x:c r="G1329" s="36"/>
      <x:c r="J1329" s="38"/>
    </x:row>
    <x:row r="1330">
      <x:c r="A1330" s="34"/>
      <x:c r="F1330" s="34"/>
      <x:c r="G1330" s="36"/>
      <x:c r="J1330" s="38"/>
    </x:row>
    <x:row r="1331">
      <x:c r="A1331" s="34"/>
      <x:c r="F1331" s="34"/>
      <x:c r="G1331" s="36"/>
      <x:c r="J1331" s="38"/>
    </x:row>
    <x:row r="1332">
      <x:c r="A1332" s="34"/>
      <x:c r="F1332" s="34"/>
      <x:c r="G1332" s="36"/>
      <x:c r="J1332" s="38"/>
    </x:row>
    <x:row r="1333">
      <x:c r="A1333" s="34"/>
      <x:c r="F1333" s="34"/>
      <x:c r="G1333" s="36"/>
      <x:c r="J1333" s="38"/>
    </x:row>
    <x:row r="1334">
      <x:c r="A1334" s="34"/>
      <x:c r="F1334" s="34"/>
      <x:c r="G1334" s="36"/>
      <x:c r="J1334" s="38"/>
    </x:row>
    <x:row r="1335">
      <x:c r="A1335" s="34"/>
      <x:c r="F1335" s="34"/>
      <x:c r="G1335" s="36"/>
      <x:c r="J1335" s="38"/>
    </x:row>
    <x:row r="1336">
      <x:c r="A1336" s="34"/>
      <x:c r="F1336" s="34"/>
      <x:c r="G1336" s="36"/>
      <x:c r="J1336" s="38"/>
    </x:row>
    <x:row r="1337">
      <x:c r="A1337" s="34"/>
      <x:c r="F1337" s="34"/>
      <x:c r="G1337" s="36"/>
      <x:c r="J1337" s="38"/>
    </x:row>
    <x:row r="1338">
      <x:c r="A1338" s="34"/>
      <x:c r="F1338" s="34"/>
      <x:c r="G1338" s="36"/>
      <x:c r="J1338" s="38"/>
    </x:row>
    <x:row r="1339">
      <x:c r="A1339" s="34"/>
      <x:c r="F1339" s="34"/>
      <x:c r="G1339" s="36"/>
      <x:c r="J1339" s="38"/>
    </x:row>
    <x:row r="1340">
      <x:c r="A1340" s="34"/>
      <x:c r="F1340" s="34"/>
      <x:c r="G1340" s="36"/>
      <x:c r="J1340" s="38"/>
    </x:row>
    <x:row r="1341">
      <x:c r="A1341" s="34"/>
      <x:c r="F1341" s="34"/>
      <x:c r="G1341" s="36"/>
      <x:c r="J1341" s="38"/>
    </x:row>
    <x:row r="1342">
      <x:c r="A1342" s="34"/>
      <x:c r="F1342" s="34"/>
      <x:c r="G1342" s="36"/>
      <x:c r="J1342" s="38"/>
    </x:row>
    <x:row r="1343">
      <x:c r="A1343" s="34"/>
      <x:c r="F1343" s="34"/>
      <x:c r="G1343" s="36"/>
      <x:c r="J1343" s="38"/>
    </x:row>
    <x:row r="1344">
      <x:c r="A1344" s="34"/>
      <x:c r="F1344" s="34"/>
      <x:c r="G1344" s="36"/>
      <x:c r="J1344" s="38"/>
    </x:row>
    <x:row r="1345">
      <x:c r="A1345" s="34"/>
      <x:c r="F1345" s="34"/>
      <x:c r="G1345" s="36"/>
      <x:c r="J1345" s="38"/>
    </x:row>
    <x:row r="1346">
      <x:c r="A1346" s="34"/>
      <x:c r="F1346" s="34"/>
      <x:c r="G1346" s="36"/>
      <x:c r="J1346" s="38"/>
    </x:row>
    <x:row r="1347">
      <x:c r="A1347" s="34"/>
      <x:c r="F1347" s="34"/>
      <x:c r="G1347" s="36"/>
      <x:c r="J1347" s="38"/>
    </x:row>
    <x:row r="1348">
      <x:c r="A1348" s="34"/>
      <x:c r="F1348" s="34"/>
      <x:c r="G1348" s="36"/>
      <x:c r="J1348" s="38"/>
    </x:row>
    <x:row r="1349">
      <x:c r="A1349" s="34"/>
      <x:c r="F1349" s="34"/>
      <x:c r="G1349" s="36"/>
      <x:c r="J1349" s="38"/>
    </x:row>
    <x:row r="1350">
      <x:c r="A1350" s="34"/>
      <x:c r="F1350" s="34"/>
      <x:c r="G1350" s="36"/>
      <x:c r="J1350" s="38"/>
    </x:row>
    <x:row r="1351">
      <x:c r="A1351" s="34"/>
      <x:c r="F1351" s="34"/>
      <x:c r="G1351" s="36"/>
      <x:c r="J1351" s="38"/>
    </x:row>
    <x:row r="1352">
      <x:c r="A1352" s="34"/>
      <x:c r="F1352" s="34"/>
      <x:c r="G1352" s="36"/>
      <x:c r="J1352" s="38"/>
    </x:row>
    <x:row r="1353">
      <x:c r="A1353" s="34"/>
      <x:c r="F1353" s="34"/>
      <x:c r="G1353" s="36"/>
      <x:c r="J1353" s="38"/>
    </x:row>
    <x:row r="1354">
      <x:c r="A1354" s="34"/>
      <x:c r="F1354" s="34"/>
      <x:c r="G1354" s="36"/>
      <x:c r="J1354" s="38"/>
    </x:row>
    <x:row r="1355">
      <x:c r="A1355" s="34"/>
      <x:c r="F1355" s="34"/>
      <x:c r="G1355" s="36"/>
      <x:c r="J1355" s="38"/>
    </x:row>
    <x:row r="1356">
      <x:c r="A1356" s="34"/>
      <x:c r="F1356" s="34"/>
      <x:c r="G1356" s="36"/>
      <x:c r="J1356" s="38"/>
    </x:row>
    <x:row r="1357">
      <x:c r="A1357" s="34"/>
      <x:c r="F1357" s="34"/>
      <x:c r="G1357" s="36"/>
      <x:c r="J1357" s="38"/>
    </x:row>
    <x:row r="1358">
      <x:c r="A1358" s="34"/>
      <x:c r="F1358" s="34"/>
      <x:c r="G1358" s="36"/>
      <x:c r="J1358" s="38"/>
    </x:row>
    <x:row r="1359">
      <x:c r="A1359" s="34"/>
      <x:c r="F1359" s="34"/>
      <x:c r="G1359" s="36"/>
      <x:c r="J1359" s="38"/>
    </x:row>
    <x:row r="1360">
      <x:c r="A1360" s="34"/>
      <x:c r="F1360" s="34"/>
      <x:c r="G1360" s="36"/>
      <x:c r="J1360" s="38"/>
    </x:row>
    <x:row r="1361">
      <x:c r="A1361" s="34"/>
      <x:c r="F1361" s="34"/>
      <x:c r="G1361" s="36"/>
      <x:c r="J1361" s="38"/>
    </x:row>
    <x:row r="1362">
      <x:c r="A1362" s="34"/>
      <x:c r="F1362" s="34"/>
      <x:c r="G1362" s="36"/>
      <x:c r="J1362" s="38"/>
    </x:row>
    <x:row r="1363">
      <x:c r="A1363" s="34"/>
      <x:c r="F1363" s="34"/>
      <x:c r="G1363" s="36"/>
      <x:c r="J1363" s="38"/>
    </x:row>
    <x:row r="1364">
      <x:c r="A1364" s="34"/>
      <x:c r="F1364" s="34"/>
      <x:c r="G1364" s="36"/>
      <x:c r="J1364" s="38"/>
    </x:row>
    <x:row r="1365">
      <x:c r="A1365" s="34"/>
      <x:c r="F1365" s="34"/>
      <x:c r="G1365" s="36"/>
      <x:c r="J1365" s="38"/>
    </x:row>
    <x:row r="1366">
      <x:c r="A1366" s="34"/>
      <x:c r="F1366" s="34"/>
      <x:c r="G1366" s="36"/>
      <x:c r="J1366" s="38"/>
    </x:row>
    <x:row r="1367">
      <x:c r="A1367" s="34"/>
      <x:c r="F1367" s="34"/>
      <x:c r="G1367" s="36"/>
      <x:c r="J1367" s="38"/>
    </x:row>
    <x:row r="1368">
      <x:c r="A1368" s="34"/>
      <x:c r="F1368" s="34"/>
      <x:c r="G1368" s="36"/>
      <x:c r="J1368" s="38"/>
    </x:row>
    <x:row r="1369">
      <x:c r="A1369" s="34"/>
      <x:c r="F1369" s="34"/>
      <x:c r="G1369" s="36"/>
      <x:c r="J1369" s="38"/>
    </x:row>
    <x:row r="1370">
      <x:c r="A1370" s="34"/>
      <x:c r="F1370" s="34"/>
      <x:c r="G1370" s="36"/>
      <x:c r="J1370" s="38"/>
    </x:row>
    <x:row r="1371">
      <x:c r="A1371" s="34"/>
      <x:c r="F1371" s="34"/>
      <x:c r="G1371" s="36"/>
      <x:c r="J1371" s="38"/>
    </x:row>
    <x:row r="1372">
      <x:c r="A1372" s="34"/>
      <x:c r="F1372" s="34"/>
      <x:c r="G1372" s="36"/>
      <x:c r="J1372" s="38"/>
    </x:row>
    <x:row r="1373">
      <x:c r="A1373" s="34"/>
      <x:c r="F1373" s="34"/>
      <x:c r="G1373" s="36"/>
      <x:c r="J1373" s="38"/>
    </x:row>
    <x:row r="1374">
      <x:c r="A1374" s="34"/>
      <x:c r="F1374" s="34"/>
      <x:c r="G1374" s="36"/>
      <x:c r="J1374" s="38"/>
    </x:row>
    <x:row r="1375">
      <x:c r="A1375" s="34"/>
      <x:c r="F1375" s="34"/>
      <x:c r="G1375" s="36"/>
      <x:c r="J1375" s="38"/>
    </x:row>
    <x:row r="1376">
      <x:c r="A1376" s="34"/>
      <x:c r="F1376" s="34"/>
      <x:c r="G1376" s="36"/>
      <x:c r="J1376" s="38"/>
    </x:row>
    <x:row r="1377">
      <x:c r="A1377" s="34"/>
      <x:c r="F1377" s="34"/>
      <x:c r="G1377" s="36"/>
      <x:c r="J1377" s="38"/>
    </x:row>
    <x:row r="1378">
      <x:c r="A1378" s="34"/>
      <x:c r="F1378" s="34"/>
      <x:c r="G1378" s="36"/>
      <x:c r="J1378" s="38"/>
    </x:row>
    <x:row r="1379">
      <x:c r="A1379" s="34"/>
      <x:c r="F1379" s="34"/>
      <x:c r="G1379" s="36"/>
      <x:c r="J1379" s="38"/>
    </x:row>
    <x:row r="1380">
      <x:c r="A1380" s="34"/>
      <x:c r="F1380" s="34"/>
      <x:c r="G1380" s="36"/>
      <x:c r="J1380" s="38"/>
    </x:row>
    <x:row r="1381">
      <x:c r="A1381" s="34"/>
      <x:c r="F1381" s="34"/>
      <x:c r="G1381" s="36"/>
      <x:c r="J1381" s="38"/>
    </x:row>
    <x:row r="1382">
      <x:c r="A1382" s="34"/>
      <x:c r="F1382" s="34"/>
      <x:c r="G1382" s="36"/>
      <x:c r="J1382" s="38"/>
    </x:row>
    <x:row r="1383">
      <x:c r="A1383" s="34"/>
      <x:c r="F1383" s="34"/>
      <x:c r="G1383" s="36"/>
      <x:c r="J1383" s="38"/>
    </x:row>
    <x:row r="1384">
      <x:c r="A1384" s="34"/>
      <x:c r="F1384" s="34"/>
      <x:c r="G1384" s="36"/>
      <x:c r="J1384" s="38"/>
    </x:row>
    <x:row r="1385">
      <x:c r="A1385" s="34"/>
      <x:c r="F1385" s="34"/>
      <x:c r="G1385" s="36"/>
      <x:c r="J1385" s="38"/>
    </x:row>
    <x:row r="1386">
      <x:c r="A1386" s="34"/>
      <x:c r="F1386" s="34"/>
      <x:c r="G1386" s="36"/>
      <x:c r="J1386" s="38"/>
    </x:row>
    <x:row r="1387">
      <x:c r="A1387" s="34"/>
      <x:c r="F1387" s="34"/>
      <x:c r="G1387" s="36"/>
      <x:c r="J1387" s="38"/>
    </x:row>
    <x:row r="1388">
      <x:c r="A1388" s="34"/>
      <x:c r="F1388" s="34"/>
      <x:c r="G1388" s="36"/>
      <x:c r="J1388" s="38"/>
    </x:row>
    <x:row r="1389">
      <x:c r="A1389" s="34"/>
      <x:c r="F1389" s="34"/>
      <x:c r="G1389" s="36"/>
      <x:c r="J1389" s="38"/>
    </x:row>
    <x:row r="1390">
      <x:c r="A1390" s="34"/>
      <x:c r="F1390" s="34"/>
      <x:c r="G1390" s="36"/>
      <x:c r="J1390" s="38"/>
    </x:row>
    <x:row r="1391">
      <x:c r="A1391" s="34"/>
      <x:c r="F1391" s="34"/>
      <x:c r="G1391" s="36"/>
      <x:c r="J1391" s="38"/>
    </x:row>
    <x:row r="1392">
      <x:c r="A1392" s="34"/>
      <x:c r="F1392" s="34"/>
      <x:c r="G1392" s="36"/>
      <x:c r="J1392" s="38"/>
    </x:row>
    <x:row r="1393">
      <x:c r="A1393" s="34"/>
      <x:c r="F1393" s="34"/>
      <x:c r="G1393" s="36"/>
      <x:c r="J1393" s="38"/>
    </x:row>
    <x:row r="1394">
      <x:c r="A1394" s="34"/>
      <x:c r="F1394" s="34"/>
      <x:c r="G1394" s="36"/>
      <x:c r="J1394" s="38"/>
    </x:row>
    <x:row r="1395">
      <x:c r="A1395" s="34"/>
      <x:c r="F1395" s="34"/>
      <x:c r="G1395" s="36"/>
      <x:c r="J1395" s="38"/>
    </x:row>
    <x:row r="1396">
      <x:c r="A1396" s="34"/>
      <x:c r="F1396" s="34"/>
      <x:c r="G1396" s="36"/>
      <x:c r="J1396" s="38"/>
    </x:row>
    <x:row r="1397">
      <x:c r="A1397" s="34"/>
      <x:c r="F1397" s="34"/>
      <x:c r="G1397" s="36"/>
      <x:c r="J1397" s="38"/>
    </x:row>
    <x:row r="1398">
      <x:c r="A1398" s="34"/>
      <x:c r="F1398" s="34"/>
      <x:c r="G1398" s="36"/>
      <x:c r="J1398" s="38"/>
    </x:row>
    <x:row r="1399">
      <x:c r="A1399" s="34"/>
      <x:c r="F1399" s="34"/>
      <x:c r="G1399" s="36"/>
      <x:c r="J1399" s="38"/>
    </x:row>
    <x:row r="1400">
      <x:c r="A1400" s="34"/>
      <x:c r="F1400" s="34"/>
      <x:c r="G1400" s="36"/>
      <x:c r="J1400" s="38"/>
    </x:row>
    <x:row r="1401">
      <x:c r="A1401" s="34"/>
      <x:c r="F1401" s="34"/>
      <x:c r="G1401" s="36"/>
      <x:c r="J1401" s="38"/>
    </x:row>
    <x:row r="1402">
      <x:c r="A1402" s="34"/>
      <x:c r="F1402" s="34"/>
      <x:c r="G1402" s="36"/>
      <x:c r="J1402" s="38"/>
    </x:row>
    <x:row r="1403">
      <x:c r="A1403" s="34"/>
      <x:c r="F1403" s="34"/>
      <x:c r="G1403" s="36"/>
      <x:c r="J1403" s="38"/>
    </x:row>
    <x:row r="1404">
      <x:c r="A1404" s="34"/>
      <x:c r="F1404" s="34"/>
      <x:c r="G1404" s="36"/>
      <x:c r="J1404" s="38"/>
    </x:row>
    <x:row r="1405">
      <x:c r="A1405" s="34"/>
      <x:c r="F1405" s="34"/>
      <x:c r="G1405" s="36"/>
      <x:c r="J1405" s="38"/>
    </x:row>
    <x:row r="1406">
      <x:c r="A1406" s="34"/>
      <x:c r="F1406" s="34"/>
      <x:c r="G1406" s="36"/>
      <x:c r="J1406" s="38"/>
    </x:row>
    <x:row r="1407">
      <x:c r="A1407" s="34"/>
      <x:c r="F1407" s="34"/>
      <x:c r="G1407" s="36"/>
      <x:c r="J1407" s="38"/>
    </x:row>
    <x:row r="1408">
      <x:c r="A1408" s="34"/>
      <x:c r="F1408" s="34"/>
      <x:c r="G1408" s="36"/>
      <x:c r="J1408" s="38"/>
    </x:row>
    <x:row r="1409">
      <x:c r="A1409" s="34"/>
      <x:c r="F1409" s="34"/>
      <x:c r="G1409" s="36"/>
      <x:c r="J1409" s="38"/>
    </x:row>
    <x:row r="1410">
      <x:c r="A1410" s="34"/>
      <x:c r="F1410" s="34"/>
      <x:c r="G1410" s="36"/>
      <x:c r="J1410" s="38"/>
    </x:row>
    <x:row r="1411">
      <x:c r="A1411" s="34"/>
      <x:c r="F1411" s="34"/>
      <x:c r="G1411" s="36"/>
      <x:c r="J1411" s="38"/>
    </x:row>
    <x:row r="1412">
      <x:c r="A1412" s="34"/>
      <x:c r="F1412" s="34"/>
      <x:c r="G1412" s="36"/>
      <x:c r="J1412" s="38"/>
    </x:row>
    <x:row r="1413">
      <x:c r="A1413" s="34"/>
      <x:c r="F1413" s="34"/>
      <x:c r="G1413" s="36"/>
      <x:c r="J1413" s="38"/>
    </x:row>
    <x:row r="1414">
      <x:c r="A1414" s="34"/>
      <x:c r="F1414" s="34"/>
      <x:c r="G1414" s="36"/>
      <x:c r="J1414" s="38"/>
    </x:row>
    <x:row r="1415">
      <x:c r="A1415" s="34"/>
      <x:c r="F1415" s="34"/>
      <x:c r="G1415" s="36"/>
      <x:c r="J1415" s="38"/>
    </x:row>
    <x:row r="1416">
      <x:c r="A1416" s="34"/>
      <x:c r="F1416" s="34"/>
      <x:c r="G1416" s="36"/>
      <x:c r="J1416" s="38"/>
    </x:row>
    <x:row r="1417">
      <x:c r="A1417" s="34"/>
      <x:c r="F1417" s="34"/>
      <x:c r="G1417" s="36"/>
      <x:c r="J1417" s="38"/>
    </x:row>
    <x:row r="1418">
      <x:c r="A1418" s="34"/>
      <x:c r="F1418" s="34"/>
      <x:c r="G1418" s="36"/>
      <x:c r="J1418" s="38"/>
    </x:row>
    <x:row r="1419">
      <x:c r="A1419" s="34"/>
      <x:c r="F1419" s="34"/>
      <x:c r="G1419" s="36"/>
      <x:c r="J1419" s="38"/>
    </x:row>
    <x:row r="1420">
      <x:c r="A1420" s="34"/>
      <x:c r="F1420" s="34"/>
      <x:c r="G1420" s="36"/>
      <x:c r="J1420" s="38"/>
    </x:row>
    <x:row r="1421">
      <x:c r="A1421" s="34"/>
      <x:c r="F1421" s="34"/>
      <x:c r="G1421" s="36"/>
      <x:c r="J1421" s="38"/>
    </x:row>
    <x:row r="1422">
      <x:c r="A1422" s="34"/>
      <x:c r="F1422" s="34"/>
      <x:c r="G1422" s="36"/>
      <x:c r="J1422" s="38"/>
    </x:row>
    <x:row r="1423">
      <x:c r="A1423" s="34"/>
      <x:c r="F1423" s="34"/>
      <x:c r="G1423" s="36"/>
      <x:c r="J1423" s="38"/>
    </x:row>
    <x:row r="1424">
      <x:c r="A1424" s="34"/>
      <x:c r="F1424" s="34"/>
      <x:c r="G1424" s="36"/>
      <x:c r="J1424" s="38"/>
    </x:row>
    <x:row r="1425">
      <x:c r="A1425" s="34"/>
      <x:c r="F1425" s="34"/>
      <x:c r="G1425" s="36"/>
      <x:c r="J1425" s="38"/>
    </x:row>
    <x:row r="1426">
      <x:c r="A1426" s="34"/>
      <x:c r="F1426" s="34"/>
      <x:c r="G1426" s="36"/>
      <x:c r="J1426" s="38"/>
    </x:row>
    <x:row r="1427">
      <x:c r="A1427" s="34"/>
      <x:c r="F1427" s="34"/>
      <x:c r="G1427" s="36"/>
      <x:c r="J1427" s="38"/>
    </x:row>
    <x:row r="1428">
      <x:c r="A1428" s="34"/>
      <x:c r="F1428" s="34"/>
      <x:c r="G1428" s="36"/>
      <x:c r="J1428" s="38"/>
    </x:row>
    <x:row r="1429">
      <x:c r="A1429" s="34"/>
      <x:c r="F1429" s="34"/>
      <x:c r="G1429" s="36"/>
      <x:c r="J1429" s="38"/>
    </x:row>
    <x:row r="1430">
      <x:c r="A1430" s="34"/>
      <x:c r="F1430" s="34"/>
      <x:c r="G1430" s="36"/>
      <x:c r="J1430" s="38"/>
    </x:row>
    <x:row r="1431">
      <x:c r="A1431" s="34"/>
      <x:c r="F1431" s="34"/>
      <x:c r="G1431" s="36"/>
      <x:c r="J1431" s="38"/>
    </x:row>
    <x:row r="1432">
      <x:c r="A1432" s="34"/>
      <x:c r="F1432" s="34"/>
      <x:c r="G1432" s="36"/>
      <x:c r="J1432" s="38"/>
    </x:row>
    <x:row r="1433">
      <x:c r="A1433" s="34"/>
      <x:c r="F1433" s="34"/>
      <x:c r="G1433" s="36"/>
      <x:c r="J1433" s="38"/>
    </x:row>
    <x:row r="1434">
      <x:c r="A1434" s="34"/>
      <x:c r="F1434" s="34"/>
      <x:c r="G1434" s="36"/>
      <x:c r="J1434" s="38"/>
    </x:row>
    <x:row r="1435">
      <x:c r="A1435" s="34"/>
      <x:c r="F1435" s="34"/>
      <x:c r="G1435" s="36"/>
      <x:c r="J1435" s="38"/>
    </x:row>
    <x:row r="1436">
      <x:c r="A1436" s="34"/>
      <x:c r="F1436" s="34"/>
      <x:c r="G1436" s="36"/>
      <x:c r="J1436" s="38"/>
    </x:row>
    <x:row r="1437">
      <x:c r="A1437" s="34"/>
      <x:c r="F1437" s="34"/>
      <x:c r="G1437" s="36"/>
      <x:c r="J1437" s="38"/>
    </x:row>
    <x:row r="1438">
      <x:c r="A1438" s="34"/>
      <x:c r="F1438" s="34"/>
      <x:c r="G1438" s="36"/>
      <x:c r="J1438" s="38"/>
    </x:row>
    <x:row r="1439">
      <x:c r="A1439" s="34"/>
      <x:c r="F1439" s="34"/>
      <x:c r="G1439" s="36"/>
      <x:c r="J1439" s="38"/>
    </x:row>
    <x:row r="1440">
      <x:c r="A1440" s="34"/>
      <x:c r="F1440" s="34"/>
      <x:c r="G1440" s="36"/>
      <x:c r="J1440" s="38"/>
    </x:row>
    <x:row r="1441">
      <x:c r="A1441" s="34"/>
      <x:c r="F1441" s="34"/>
      <x:c r="G1441" s="36"/>
      <x:c r="J1441" s="38"/>
    </x:row>
    <x:row r="1442">
      <x:c r="A1442" s="34"/>
      <x:c r="F1442" s="34"/>
      <x:c r="G1442" s="36"/>
      <x:c r="J1442" s="38"/>
    </x:row>
    <x:row r="1443">
      <x:c r="A1443" s="34"/>
      <x:c r="F1443" s="34"/>
      <x:c r="G1443" s="36"/>
      <x:c r="J1443" s="38"/>
    </x:row>
    <x:row r="1444">
      <x:c r="A1444" s="34"/>
      <x:c r="F1444" s="34"/>
      <x:c r="G1444" s="36"/>
      <x:c r="J1444" s="38"/>
    </x:row>
    <x:row r="1445">
      <x:c r="A1445" s="34"/>
      <x:c r="F1445" s="34"/>
      <x:c r="G1445" s="36"/>
      <x:c r="J1445" s="38"/>
    </x:row>
    <x:row r="1446">
      <x:c r="A1446" s="34"/>
      <x:c r="F1446" s="34"/>
      <x:c r="G1446" s="36"/>
      <x:c r="J1446" s="38"/>
    </x:row>
    <x:row r="1447">
      <x:c r="A1447" s="34"/>
      <x:c r="F1447" s="34"/>
      <x:c r="G1447" s="36"/>
      <x:c r="J1447" s="38"/>
    </x:row>
    <x:row r="1448">
      <x:c r="A1448" s="34"/>
      <x:c r="F1448" s="34"/>
      <x:c r="G1448" s="36"/>
      <x:c r="J1448" s="38"/>
    </x:row>
    <x:row r="1449">
      <x:c r="A1449" s="34"/>
      <x:c r="F1449" s="34"/>
      <x:c r="G1449" s="36"/>
      <x:c r="J1449" s="38"/>
    </x:row>
    <x:row r="1450">
      <x:c r="A1450" s="34"/>
      <x:c r="F1450" s="34"/>
      <x:c r="G1450" s="36"/>
      <x:c r="J1450" s="38"/>
    </x:row>
    <x:row r="1451">
      <x:c r="A1451" s="34"/>
      <x:c r="F1451" s="34"/>
      <x:c r="G1451" s="36"/>
      <x:c r="J1451" s="38"/>
    </x:row>
    <x:row r="1452">
      <x:c r="A1452" s="34"/>
      <x:c r="F1452" s="34"/>
      <x:c r="G1452" s="36"/>
      <x:c r="J1452" s="38"/>
    </x:row>
    <x:row r="1453">
      <x:c r="A1453" s="34"/>
      <x:c r="F1453" s="34"/>
      <x:c r="G1453" s="36"/>
      <x:c r="J1453" s="38"/>
    </x:row>
    <x:row r="1454">
      <x:c r="A1454" s="34"/>
      <x:c r="F1454" s="34"/>
      <x:c r="G1454" s="36"/>
      <x:c r="J1454" s="38"/>
    </x:row>
    <x:row r="1455">
      <x:c r="A1455" s="34"/>
      <x:c r="F1455" s="34"/>
      <x:c r="G1455" s="36"/>
      <x:c r="J1455" s="38"/>
    </x:row>
    <x:row r="1456">
      <x:c r="A1456" s="34"/>
      <x:c r="F1456" s="34"/>
      <x:c r="G1456" s="36"/>
      <x:c r="J1456" s="38"/>
    </x:row>
    <x:row r="1457">
      <x:c r="A1457" s="34"/>
      <x:c r="F1457" s="34"/>
      <x:c r="G1457" s="36"/>
      <x:c r="J1457" s="38"/>
    </x:row>
    <x:row r="1458">
      <x:c r="A1458" s="34"/>
      <x:c r="F1458" s="34"/>
      <x:c r="G1458" s="36"/>
      <x:c r="J1458" s="38"/>
    </x:row>
    <x:row r="1459">
      <x:c r="A1459" s="34"/>
      <x:c r="F1459" s="34"/>
      <x:c r="G1459" s="36"/>
      <x:c r="J1459" s="38"/>
    </x:row>
    <x:row r="1460">
      <x:c r="A1460" s="34"/>
      <x:c r="F1460" s="34"/>
      <x:c r="G1460" s="36"/>
      <x:c r="J1460" s="38"/>
    </x:row>
    <x:row r="1461">
      <x:c r="A1461" s="34"/>
      <x:c r="F1461" s="34"/>
      <x:c r="G1461" s="36"/>
      <x:c r="J1461" s="38"/>
    </x:row>
    <x:row r="1462">
      <x:c r="A1462" s="34"/>
      <x:c r="F1462" s="34"/>
      <x:c r="G1462" s="36"/>
      <x:c r="J1462" s="38"/>
    </x:row>
    <x:row r="1463">
      <x:c r="A1463" s="34"/>
      <x:c r="F1463" s="34"/>
      <x:c r="G1463" s="36"/>
      <x:c r="J1463" s="38"/>
    </x:row>
    <x:row r="1464">
      <x:c r="A1464" s="34"/>
      <x:c r="F1464" s="34"/>
      <x:c r="G1464" s="36"/>
      <x:c r="J1464" s="38"/>
    </x:row>
    <x:row r="1465">
      <x:c r="A1465" s="34"/>
      <x:c r="F1465" s="34"/>
      <x:c r="G1465" s="36"/>
      <x:c r="J1465" s="38"/>
    </x:row>
    <x:row r="1466">
      <x:c r="A1466" s="34"/>
      <x:c r="F1466" s="34"/>
      <x:c r="G1466" s="36"/>
      <x:c r="J1466" s="38"/>
    </x:row>
    <x:row r="1467">
      <x:c r="A1467" s="34"/>
      <x:c r="F1467" s="34"/>
      <x:c r="G1467" s="36"/>
      <x:c r="J1467" s="38"/>
    </x:row>
    <x:row r="1468">
      <x:c r="A1468" s="34"/>
      <x:c r="F1468" s="34"/>
      <x:c r="G1468" s="36"/>
      <x:c r="J1468" s="38"/>
    </x:row>
    <x:row r="1469">
      <x:c r="A1469" s="34"/>
      <x:c r="F1469" s="34"/>
      <x:c r="G1469" s="36"/>
      <x:c r="J1469" s="38"/>
    </x:row>
    <x:row r="1470">
      <x:c r="A1470" s="34"/>
      <x:c r="F1470" s="34"/>
      <x:c r="G1470" s="36"/>
      <x:c r="J1470" s="38"/>
    </x:row>
    <x:row r="1471">
      <x:c r="A1471" s="34"/>
      <x:c r="F1471" s="34"/>
      <x:c r="G1471" s="36"/>
      <x:c r="J1471" s="38"/>
    </x:row>
    <x:row r="1472">
      <x:c r="A1472" s="34"/>
      <x:c r="F1472" s="34"/>
      <x:c r="G1472" s="36"/>
      <x:c r="J1472" s="38"/>
    </x:row>
    <x:row r="1473">
      <x:c r="A1473" s="34"/>
      <x:c r="F1473" s="34"/>
      <x:c r="G1473" s="36"/>
      <x:c r="J1473" s="38"/>
    </x:row>
    <x:row r="1474">
      <x:c r="A1474" s="34"/>
      <x:c r="F1474" s="34"/>
      <x:c r="G1474" s="36"/>
      <x:c r="J1474" s="38"/>
    </x:row>
    <x:row r="1475">
      <x:c r="A1475" s="34"/>
      <x:c r="F1475" s="34"/>
      <x:c r="G1475" s="36"/>
      <x:c r="J1475" s="38"/>
    </x:row>
    <x:row r="1476">
      <x:c r="A1476" s="34"/>
      <x:c r="F1476" s="34"/>
      <x:c r="G1476" s="36"/>
      <x:c r="J1476" s="38"/>
    </x:row>
    <x:row r="1477">
      <x:c r="A1477" s="34"/>
      <x:c r="F1477" s="34"/>
      <x:c r="G1477" s="36"/>
      <x:c r="J1477" s="38"/>
    </x:row>
    <x:row r="1478">
      <x:c r="A1478" s="34"/>
      <x:c r="F1478" s="34"/>
      <x:c r="G1478" s="36"/>
      <x:c r="J1478" s="38"/>
    </x:row>
    <x:row r="1479">
      <x:c r="A1479" s="34"/>
      <x:c r="F1479" s="34"/>
      <x:c r="G1479" s="36"/>
      <x:c r="J1479" s="38"/>
    </x:row>
    <x:row r="1480">
      <x:c r="A1480" s="34"/>
      <x:c r="F1480" s="34"/>
      <x:c r="G1480" s="36"/>
      <x:c r="J1480" s="38"/>
    </x:row>
    <x:row r="1481">
      <x:c r="A1481" s="34"/>
      <x:c r="F1481" s="34"/>
      <x:c r="G1481" s="36"/>
      <x:c r="J1481" s="38"/>
    </x:row>
    <x:row r="1482">
      <x:c r="A1482" s="34"/>
      <x:c r="F1482" s="34"/>
      <x:c r="G1482" s="36"/>
      <x:c r="J1482" s="38"/>
    </x:row>
    <x:row r="1483">
      <x:c r="A1483" s="34"/>
      <x:c r="F1483" s="34"/>
      <x:c r="G1483" s="36"/>
      <x:c r="J1483" s="38"/>
    </x:row>
    <x:row r="1484">
      <x:c r="A1484" s="34"/>
      <x:c r="F1484" s="34"/>
      <x:c r="G1484" s="36"/>
      <x:c r="J1484" s="38"/>
    </x:row>
    <x:row r="1485">
      <x:c r="A1485" s="34"/>
      <x:c r="F1485" s="34"/>
      <x:c r="G1485" s="36"/>
      <x:c r="J1485" s="38"/>
    </x:row>
    <x:row r="1486">
      <x:c r="A1486" s="34"/>
      <x:c r="F1486" s="34"/>
      <x:c r="G1486" s="36"/>
      <x:c r="J1486" s="38"/>
    </x:row>
    <x:row r="1487">
      <x:c r="A1487" s="34"/>
      <x:c r="F1487" s="34"/>
      <x:c r="G1487" s="36"/>
      <x:c r="J1487" s="38"/>
    </x:row>
    <x:row r="1488">
      <x:c r="A1488" s="34"/>
      <x:c r="F1488" s="34"/>
      <x:c r="G1488" s="36"/>
      <x:c r="J1488" s="38"/>
    </x:row>
    <x:row r="1489">
      <x:c r="A1489" s="34"/>
      <x:c r="F1489" s="34"/>
      <x:c r="G1489" s="36"/>
      <x:c r="J1489" s="38"/>
    </x:row>
    <x:row r="1490">
      <x:c r="A1490" s="34"/>
      <x:c r="F1490" s="34"/>
      <x:c r="G1490" s="36"/>
      <x:c r="J1490" s="38"/>
    </x:row>
    <x:row r="1491">
      <x:c r="A1491" s="34"/>
      <x:c r="F1491" s="34"/>
      <x:c r="G1491" s="36"/>
      <x:c r="J1491" s="38"/>
    </x:row>
    <x:row r="1492">
      <x:c r="A1492" s="34"/>
      <x:c r="F1492" s="34"/>
      <x:c r="G1492" s="36"/>
      <x:c r="J1492" s="38"/>
    </x:row>
    <x:row r="1493">
      <x:c r="A1493" s="34"/>
      <x:c r="F1493" s="34"/>
      <x:c r="G1493" s="36"/>
      <x:c r="J1493" s="38"/>
    </x:row>
    <x:row r="1494">
      <x:c r="A1494" s="34"/>
      <x:c r="F1494" s="34"/>
      <x:c r="G1494" s="36"/>
      <x:c r="J1494" s="38"/>
    </x:row>
    <x:row r="1495">
      <x:c r="A1495" s="34"/>
      <x:c r="F1495" s="34"/>
      <x:c r="G1495" s="36"/>
      <x:c r="J1495" s="38"/>
    </x:row>
    <x:row r="1496">
      <x:c r="A1496" s="34"/>
      <x:c r="F1496" s="34"/>
      <x:c r="G1496" s="36"/>
      <x:c r="J1496" s="38"/>
    </x:row>
    <x:row r="1497">
      <x:c r="A1497" s="34"/>
      <x:c r="F1497" s="34"/>
      <x:c r="G1497" s="36"/>
      <x:c r="J1497" s="38"/>
    </x:row>
    <x:row r="1498">
      <x:c r="A1498" s="34"/>
      <x:c r="F1498" s="34"/>
      <x:c r="G1498" s="36"/>
      <x:c r="J1498" s="38"/>
    </x:row>
    <x:row r="1499">
      <x:c r="A1499" s="34"/>
      <x:c r="F1499" s="34"/>
      <x:c r="G1499" s="36"/>
      <x:c r="J1499" s="38"/>
    </x:row>
    <x:row r="1500">
      <x:c r="A1500" s="34"/>
      <x:c r="F1500" s="34"/>
      <x:c r="G1500" s="36"/>
      <x:c r="J1500" s="38"/>
    </x:row>
    <x:row r="1501">
      <x:c r="A1501" s="34"/>
      <x:c r="F1501" s="34"/>
      <x:c r="G1501" s="36"/>
      <x:c r="J1501" s="38"/>
    </x:row>
    <x:row r="1502">
      <x:c r="A1502" s="34"/>
      <x:c r="F1502" s="34"/>
      <x:c r="G1502" s="36"/>
      <x:c r="J1502" s="38"/>
    </x:row>
    <x:row r="1503">
      <x:c r="A1503" s="34"/>
      <x:c r="F1503" s="34"/>
      <x:c r="G1503" s="36"/>
      <x:c r="J1503" s="38"/>
    </x:row>
    <x:row r="1504">
      <x:c r="A1504" s="34"/>
      <x:c r="F1504" s="34"/>
      <x:c r="G1504" s="36"/>
      <x:c r="J1504" s="38"/>
    </x:row>
    <x:row r="1505">
      <x:c r="A1505" s="34"/>
      <x:c r="F1505" s="34"/>
      <x:c r="G1505" s="36"/>
      <x:c r="J1505" s="38"/>
    </x:row>
    <x:row r="1506">
      <x:c r="A1506" s="34"/>
      <x:c r="F1506" s="34"/>
      <x:c r="G1506" s="36"/>
      <x:c r="J1506" s="38"/>
    </x:row>
    <x:row r="1507">
      <x:c r="A1507" s="34"/>
      <x:c r="F1507" s="34"/>
      <x:c r="G1507" s="36"/>
      <x:c r="J1507" s="38"/>
    </x:row>
    <x:row r="1508">
      <x:c r="A1508" s="34"/>
      <x:c r="F1508" s="34"/>
      <x:c r="G1508" s="36"/>
      <x:c r="J1508" s="38"/>
    </x:row>
    <x:row r="1509">
      <x:c r="A1509" s="34"/>
      <x:c r="F1509" s="34"/>
      <x:c r="G1509" s="36"/>
      <x:c r="J1509" s="38"/>
    </x:row>
    <x:row r="1510">
      <x:c r="A1510" s="34"/>
      <x:c r="F1510" s="34"/>
      <x:c r="G1510" s="36"/>
      <x:c r="J1510" s="38"/>
    </x:row>
    <x:row r="1511">
      <x:c r="A1511" s="34"/>
      <x:c r="F1511" s="34"/>
      <x:c r="G1511" s="36"/>
      <x:c r="J1511" s="38"/>
    </x:row>
    <x:row r="1512">
      <x:c r="A1512" s="34"/>
      <x:c r="F1512" s="34"/>
      <x:c r="G1512" s="36"/>
      <x:c r="J1512" s="38"/>
    </x:row>
    <x:row r="1513">
      <x:c r="A1513" s="34"/>
      <x:c r="F1513" s="34"/>
      <x:c r="G1513" s="36"/>
      <x:c r="J1513" s="38"/>
    </x:row>
    <x:row r="1514">
      <x:c r="A1514" s="34"/>
      <x:c r="F1514" s="34"/>
      <x:c r="G1514" s="36"/>
      <x:c r="J1514" s="38"/>
    </x:row>
    <x:row r="1515">
      <x:c r="A1515" s="34"/>
      <x:c r="F1515" s="34"/>
      <x:c r="G1515" s="36"/>
      <x:c r="J1515" s="38"/>
    </x:row>
    <x:row r="1516">
      <x:c r="A1516" s="34"/>
      <x:c r="F1516" s="34"/>
      <x:c r="G1516" s="36"/>
      <x:c r="J1516" s="38"/>
    </x:row>
    <x:row r="1517">
      <x:c r="A1517" s="34"/>
      <x:c r="F1517" s="34"/>
      <x:c r="G1517" s="36"/>
      <x:c r="J1517" s="38"/>
    </x:row>
    <x:row r="1518">
      <x:c r="A1518" s="34"/>
      <x:c r="F1518" s="34"/>
      <x:c r="G1518" s="36"/>
      <x:c r="J1518" s="38"/>
    </x:row>
    <x:row r="1519">
      <x:c r="A1519" s="34"/>
      <x:c r="F1519" s="34"/>
      <x:c r="G1519" s="36"/>
      <x:c r="J1519" s="38"/>
    </x:row>
    <x:row r="1520">
      <x:c r="A1520" s="34"/>
      <x:c r="F1520" s="34"/>
      <x:c r="G1520" s="36"/>
      <x:c r="J1520" s="38"/>
    </x:row>
    <x:row r="1521">
      <x:c r="A1521" s="34"/>
      <x:c r="F1521" s="34"/>
      <x:c r="G1521" s="36"/>
      <x:c r="J1521" s="38"/>
    </x:row>
    <x:row r="1522">
      <x:c r="A1522" s="34"/>
      <x:c r="F1522" s="34"/>
      <x:c r="G1522" s="36"/>
      <x:c r="J1522" s="38"/>
    </x:row>
    <x:row r="1523">
      <x:c r="A1523" s="34"/>
      <x:c r="F1523" s="34"/>
      <x:c r="G1523" s="36"/>
      <x:c r="J1523" s="38"/>
    </x:row>
    <x:row r="1524">
      <x:c r="A1524" s="34"/>
      <x:c r="F1524" s="34"/>
      <x:c r="G1524" s="36"/>
      <x:c r="J1524" s="38"/>
    </x:row>
    <x:row r="1525">
      <x:c r="A1525" s="34"/>
      <x:c r="F1525" s="34"/>
      <x:c r="G1525" s="36"/>
      <x:c r="J1525" s="38"/>
    </x:row>
    <x:row r="1526">
      <x:c r="A1526" s="34"/>
      <x:c r="F1526" s="34"/>
      <x:c r="G1526" s="36"/>
      <x:c r="J1526" s="38"/>
    </x:row>
    <x:row r="1527">
      <x:c r="A1527" s="34"/>
      <x:c r="F1527" s="34"/>
      <x:c r="G1527" s="36"/>
      <x:c r="J1527" s="38"/>
    </x:row>
    <x:row r="1528">
      <x:c r="A1528" s="34"/>
      <x:c r="F1528" s="34"/>
      <x:c r="G1528" s="36"/>
      <x:c r="J1528" s="38"/>
    </x:row>
    <x:row r="1529">
      <x:c r="A1529" s="34"/>
      <x:c r="F1529" s="34"/>
      <x:c r="G1529" s="36"/>
      <x:c r="J1529" s="38"/>
    </x:row>
    <x:row r="1530">
      <x:c r="A1530" s="34"/>
      <x:c r="F1530" s="34"/>
      <x:c r="G1530" s="36"/>
      <x:c r="J1530" s="38"/>
    </x:row>
    <x:row r="1531">
      <x:c r="A1531" s="34"/>
      <x:c r="F1531" s="34"/>
      <x:c r="G1531" s="36"/>
      <x:c r="J1531" s="38"/>
    </x:row>
    <x:row r="1532">
      <x:c r="A1532" s="34"/>
      <x:c r="F1532" s="34"/>
      <x:c r="G1532" s="36"/>
      <x:c r="J1532" s="38"/>
    </x:row>
    <x:row r="1533">
      <x:c r="A1533" s="34"/>
      <x:c r="F1533" s="34"/>
      <x:c r="G1533" s="36"/>
      <x:c r="J1533" s="38"/>
    </x:row>
    <x:row r="1534">
      <x:c r="A1534" s="34"/>
      <x:c r="F1534" s="34"/>
      <x:c r="G1534" s="36"/>
      <x:c r="J1534" s="38"/>
    </x:row>
    <x:row r="1535">
      <x:c r="A1535" s="34"/>
      <x:c r="F1535" s="34"/>
      <x:c r="G1535" s="36"/>
      <x:c r="J1535" s="38"/>
    </x:row>
    <x:row r="1536">
      <x:c r="A1536" s="34"/>
      <x:c r="F1536" s="34"/>
      <x:c r="G1536" s="36"/>
      <x:c r="J1536" s="38"/>
    </x:row>
    <x:row r="1537">
      <x:c r="A1537" s="34"/>
      <x:c r="F1537" s="34"/>
      <x:c r="G1537" s="36"/>
      <x:c r="J1537" s="38"/>
    </x:row>
    <x:row r="1538">
      <x:c r="A1538" s="34"/>
      <x:c r="F1538" s="34"/>
      <x:c r="G1538" s="36"/>
      <x:c r="J1538" s="38"/>
    </x:row>
    <x:row r="1539">
      <x:c r="A1539" s="34"/>
      <x:c r="F1539" s="34"/>
      <x:c r="G1539" s="36"/>
      <x:c r="J1539" s="38"/>
    </x:row>
    <x:row r="1540">
      <x:c r="A1540" s="34"/>
      <x:c r="F1540" s="34"/>
      <x:c r="G1540" s="36"/>
      <x:c r="J1540" s="38"/>
    </x:row>
    <x:row r="1541">
      <x:c r="A1541" s="34"/>
      <x:c r="F1541" s="34"/>
      <x:c r="G1541" s="36"/>
      <x:c r="J1541" s="38"/>
    </x:row>
    <x:row r="1542">
      <x:c r="A1542" s="34"/>
      <x:c r="F1542" s="34"/>
      <x:c r="G1542" s="36"/>
      <x:c r="J1542" s="38"/>
    </x:row>
    <x:row r="1543">
      <x:c r="A1543" s="34"/>
      <x:c r="F1543" s="34"/>
      <x:c r="G1543" s="36"/>
      <x:c r="J1543" s="38"/>
    </x:row>
    <x:row r="1544">
      <x:c r="A1544" s="34"/>
      <x:c r="F1544" s="34"/>
      <x:c r="G1544" s="36"/>
      <x:c r="J1544" s="38"/>
    </x:row>
    <x:row r="1545">
      <x:c r="A1545" s="34"/>
      <x:c r="F1545" s="34"/>
      <x:c r="G1545" s="36"/>
      <x:c r="J1545" s="38"/>
    </x:row>
    <x:row r="1546">
      <x:c r="A1546" s="34"/>
      <x:c r="F1546" s="34"/>
      <x:c r="G1546" s="36"/>
      <x:c r="J1546" s="38"/>
    </x:row>
    <x:row r="1547">
      <x:c r="A1547" s="34"/>
      <x:c r="F1547" s="34"/>
      <x:c r="G1547" s="36"/>
      <x:c r="J1547" s="38"/>
    </x:row>
    <x:row r="1548">
      <x:c r="A1548" s="34"/>
      <x:c r="F1548" s="34"/>
      <x:c r="G1548" s="36"/>
      <x:c r="J1548" s="38"/>
    </x:row>
    <x:row r="1549">
      <x:c r="A1549" s="34"/>
      <x:c r="F1549" s="34"/>
      <x:c r="G1549" s="36"/>
      <x:c r="J1549" s="38"/>
    </x:row>
    <x:row r="1550">
      <x:c r="A1550" s="34"/>
      <x:c r="F1550" s="34"/>
      <x:c r="G1550" s="36"/>
      <x:c r="J1550" s="38"/>
    </x:row>
    <x:row r="1551">
      <x:c r="A1551" s="34"/>
      <x:c r="F1551" s="34"/>
      <x:c r="G1551" s="36"/>
      <x:c r="J1551" s="38"/>
    </x:row>
    <x:row r="1552">
      <x:c r="A1552" s="34"/>
      <x:c r="F1552" s="34"/>
      <x:c r="G1552" s="36"/>
      <x:c r="J1552" s="38"/>
    </x:row>
    <x:row r="1553">
      <x:c r="A1553" s="34"/>
      <x:c r="F1553" s="34"/>
      <x:c r="G1553" s="36"/>
      <x:c r="J1553" s="38"/>
    </x:row>
    <x:row r="1554">
      <x:c r="A1554" s="34"/>
      <x:c r="F1554" s="34"/>
      <x:c r="G1554" s="36"/>
      <x:c r="J1554" s="38"/>
    </x:row>
    <x:row r="1555">
      <x:c r="A1555" s="34"/>
      <x:c r="F1555" s="34"/>
      <x:c r="G1555" s="36"/>
      <x:c r="J1555" s="38"/>
    </x:row>
    <x:row r="1556">
      <x:c r="A1556" s="34"/>
      <x:c r="F1556" s="34"/>
      <x:c r="G1556" s="36"/>
      <x:c r="J1556" s="38"/>
    </x:row>
    <x:row r="1557">
      <x:c r="A1557" s="34"/>
      <x:c r="F1557" s="34"/>
      <x:c r="G1557" s="36"/>
      <x:c r="J1557" s="38"/>
    </x:row>
    <x:row r="1558">
      <x:c r="A1558" s="34"/>
      <x:c r="F1558" s="34"/>
      <x:c r="G1558" s="36"/>
      <x:c r="J1558" s="38"/>
    </x:row>
    <x:row r="1559">
      <x:c r="A1559" s="34"/>
      <x:c r="F1559" s="34"/>
      <x:c r="G1559" s="36"/>
      <x:c r="J1559" s="38"/>
    </x:row>
    <x:row r="1560">
      <x:c r="A1560" s="34"/>
      <x:c r="F1560" s="34"/>
      <x:c r="G1560" s="36"/>
      <x:c r="J1560" s="38"/>
    </x:row>
    <x:row r="1561">
      <x:c r="A1561" s="34"/>
      <x:c r="F1561" s="34"/>
      <x:c r="G1561" s="36"/>
      <x:c r="J1561" s="38"/>
    </x:row>
    <x:row r="1562">
      <x:c r="A1562" s="34"/>
      <x:c r="F1562" s="34"/>
      <x:c r="G1562" s="36"/>
      <x:c r="J1562" s="38"/>
    </x:row>
    <x:row r="1563">
      <x:c r="A1563" s="34"/>
      <x:c r="F1563" s="34"/>
      <x:c r="G1563" s="36"/>
      <x:c r="J1563" s="38"/>
    </x:row>
    <x:row r="1564">
      <x:c r="A1564" s="34"/>
      <x:c r="F1564" s="34"/>
      <x:c r="G1564" s="36"/>
      <x:c r="J1564" s="38"/>
    </x:row>
    <x:row r="1565">
      <x:c r="A1565" s="34"/>
      <x:c r="F1565" s="34"/>
      <x:c r="G1565" s="36"/>
      <x:c r="J1565" s="38"/>
    </x:row>
    <x:row r="1566">
      <x:c r="A1566" s="34"/>
      <x:c r="F1566" s="34"/>
      <x:c r="G1566" s="36"/>
      <x:c r="J1566" s="38"/>
    </x:row>
    <x:row r="1567">
      <x:c r="A1567" s="34"/>
      <x:c r="F1567" s="34"/>
      <x:c r="G1567" s="36"/>
      <x:c r="J1567" s="38"/>
    </x:row>
    <x:row r="1568">
      <x:c r="A1568" s="34"/>
      <x:c r="F1568" s="34"/>
      <x:c r="G1568" s="36"/>
      <x:c r="J1568" s="38"/>
    </x:row>
    <x:row r="1569">
      <x:c r="A1569" s="34"/>
      <x:c r="F1569" s="34"/>
      <x:c r="G1569" s="36"/>
      <x:c r="J1569" s="38"/>
    </x:row>
    <x:row r="1570">
      <x:c r="A1570" s="34"/>
      <x:c r="F1570" s="34"/>
      <x:c r="G1570" s="36"/>
      <x:c r="J1570" s="38"/>
    </x:row>
    <x:row r="1571">
      <x:c r="A1571" s="34"/>
      <x:c r="F1571" s="34"/>
      <x:c r="G1571" s="36"/>
      <x:c r="J1571" s="38"/>
    </x:row>
    <x:row r="1572">
      <x:c r="A1572" s="34"/>
      <x:c r="F1572" s="34"/>
      <x:c r="G1572" s="36"/>
      <x:c r="J1572" s="38"/>
    </x:row>
    <x:row r="1573">
      <x:c r="A1573" s="34"/>
      <x:c r="F1573" s="34"/>
      <x:c r="G1573" s="36"/>
      <x:c r="J1573" s="38"/>
    </x:row>
    <x:row r="1574">
      <x:c r="A1574" s="34"/>
      <x:c r="F1574" s="34"/>
      <x:c r="G1574" s="36"/>
      <x:c r="J1574" s="38"/>
    </x:row>
    <x:row r="1575">
      <x:c r="A1575" s="34"/>
      <x:c r="F1575" s="34"/>
      <x:c r="G1575" s="36"/>
      <x:c r="J1575" s="38"/>
    </x:row>
    <x:row r="1576">
      <x:c r="A1576" s="34"/>
      <x:c r="F1576" s="34"/>
      <x:c r="G1576" s="36"/>
      <x:c r="J1576" s="38"/>
    </x:row>
    <x:row r="1577">
      <x:c r="A1577" s="34"/>
      <x:c r="F1577" s="34"/>
      <x:c r="G1577" s="36"/>
      <x:c r="J1577" s="38"/>
    </x:row>
    <x:row r="1578">
      <x:c r="A1578" s="34"/>
      <x:c r="F1578" s="34"/>
      <x:c r="G1578" s="36"/>
      <x:c r="J1578" s="38"/>
    </x:row>
    <x:row r="1579">
      <x:c r="A1579" s="34"/>
      <x:c r="F1579" s="34"/>
      <x:c r="G1579" s="36"/>
      <x:c r="J1579" s="38"/>
    </x:row>
    <x:row r="1580">
      <x:c r="A1580" s="34"/>
      <x:c r="F1580" s="34"/>
      <x:c r="G1580" s="36"/>
      <x:c r="J1580" s="38"/>
    </x:row>
    <x:row r="1581">
      <x:c r="A1581" s="34"/>
      <x:c r="F1581" s="34"/>
      <x:c r="G1581" s="36"/>
      <x:c r="J1581" s="38"/>
    </x:row>
    <x:row r="1582">
      <x:c r="A1582" s="34"/>
      <x:c r="F1582" s="34"/>
      <x:c r="G1582" s="36"/>
      <x:c r="J1582" s="38"/>
    </x:row>
    <x:row r="1583">
      <x:c r="A1583" s="34"/>
      <x:c r="F1583" s="34"/>
      <x:c r="G1583" s="36"/>
      <x:c r="J1583" s="38"/>
    </x:row>
    <x:row r="1584">
      <x:c r="A1584" s="34"/>
      <x:c r="F1584" s="34"/>
      <x:c r="G1584" s="36"/>
      <x:c r="J1584" s="38"/>
    </x:row>
    <x:row r="1585">
      <x:c r="A1585" s="34"/>
      <x:c r="F1585" s="34"/>
      <x:c r="G1585" s="36"/>
      <x:c r="J1585" s="38"/>
    </x:row>
    <x:row r="1586">
      <x:c r="A1586" s="34"/>
      <x:c r="F1586" s="34"/>
      <x:c r="G1586" s="36"/>
      <x:c r="J1586" s="38"/>
    </x:row>
    <x:row r="1587">
      <x:c r="A1587" s="34"/>
      <x:c r="F1587" s="34"/>
      <x:c r="G1587" s="36"/>
      <x:c r="J1587" s="38"/>
    </x:row>
    <x:row r="1588">
      <x:c r="A1588" s="34"/>
      <x:c r="F1588" s="34"/>
      <x:c r="G1588" s="36"/>
      <x:c r="J1588" s="38"/>
    </x:row>
    <x:row r="1589">
      <x:c r="A1589" s="34"/>
      <x:c r="F1589" s="34"/>
      <x:c r="G1589" s="36"/>
      <x:c r="J1589" s="38"/>
    </x:row>
    <x:row r="1590">
      <x:c r="A1590" s="34"/>
      <x:c r="F1590" s="34"/>
      <x:c r="G1590" s="36"/>
      <x:c r="J1590" s="38"/>
    </x:row>
    <x:row r="1591">
      <x:c r="A1591" s="34"/>
      <x:c r="F1591" s="34"/>
      <x:c r="G1591" s="36"/>
      <x:c r="J1591" s="38"/>
    </x:row>
    <x:row r="1592">
      <x:c r="A1592" s="34"/>
      <x:c r="F1592" s="34"/>
      <x:c r="G1592" s="36"/>
      <x:c r="J1592" s="38"/>
    </x:row>
    <x:row r="1593">
      <x:c r="A1593" s="34"/>
      <x:c r="F1593" s="34"/>
      <x:c r="G1593" s="36"/>
      <x:c r="J1593" s="38"/>
    </x:row>
    <x:row r="1594">
      <x:c r="A1594" s="34"/>
      <x:c r="F1594" s="34"/>
      <x:c r="G1594" s="36"/>
      <x:c r="J1594" s="38"/>
    </x:row>
    <x:row r="1595">
      <x:c r="A1595" s="34"/>
      <x:c r="F1595" s="34"/>
      <x:c r="G1595" s="36"/>
      <x:c r="J1595" s="38"/>
    </x:row>
    <x:row r="1596">
      <x:c r="A1596" s="34"/>
      <x:c r="F1596" s="34"/>
      <x:c r="G1596" s="36"/>
      <x:c r="J1596" s="38"/>
    </x:row>
    <x:row r="1597">
      <x:c r="A1597" s="34"/>
      <x:c r="F1597" s="34"/>
      <x:c r="G1597" s="36"/>
      <x:c r="J1597" s="38"/>
    </x:row>
    <x:row r="1598">
      <x:c r="A1598" s="34"/>
      <x:c r="F1598" s="34"/>
      <x:c r="G1598" s="36"/>
      <x:c r="J1598" s="38"/>
    </x:row>
    <x:row r="1599">
      <x:c r="A1599" s="34"/>
      <x:c r="F1599" s="34"/>
      <x:c r="G1599" s="36"/>
      <x:c r="J1599" s="38"/>
    </x:row>
    <x:row r="1600">
      <x:c r="A1600" s="34"/>
      <x:c r="F1600" s="34"/>
      <x:c r="G1600" s="36"/>
      <x:c r="J1600" s="38"/>
    </x:row>
    <x:row r="1601">
      <x:c r="A1601" s="34"/>
      <x:c r="F1601" s="34"/>
      <x:c r="G1601" s="36"/>
      <x:c r="J1601" s="38"/>
    </x:row>
    <x:row r="1602">
      <x:c r="A1602" s="34"/>
      <x:c r="F1602" s="34"/>
      <x:c r="G1602" s="36"/>
      <x:c r="J1602" s="38"/>
    </x:row>
    <x:row r="1603">
      <x:c r="A1603" s="34"/>
      <x:c r="F1603" s="34"/>
      <x:c r="G1603" s="36"/>
      <x:c r="J1603" s="38"/>
    </x:row>
    <x:row r="1604">
      <x:c r="A1604" s="34"/>
      <x:c r="F1604" s="34"/>
      <x:c r="G1604" s="36"/>
      <x:c r="J1604" s="38"/>
    </x:row>
    <x:row r="1605">
      <x:c r="A1605" s="34"/>
      <x:c r="F1605" s="34"/>
      <x:c r="G1605" s="36"/>
      <x:c r="J1605" s="38"/>
    </x:row>
    <x:row r="1606">
      <x:c r="A1606" s="34"/>
      <x:c r="F1606" s="34"/>
      <x:c r="G1606" s="36"/>
      <x:c r="J1606" s="38"/>
    </x:row>
    <x:row r="1607">
      <x:c r="A1607" s="34"/>
      <x:c r="F1607" s="34"/>
      <x:c r="G1607" s="36"/>
      <x:c r="J1607" s="38"/>
    </x:row>
    <x:row r="1608">
      <x:c r="A1608" s="34"/>
      <x:c r="F1608" s="34"/>
      <x:c r="G1608" s="36"/>
      <x:c r="J1608" s="38"/>
    </x:row>
    <x:row r="1609">
      <x:c r="A1609" s="34"/>
      <x:c r="F1609" s="34"/>
      <x:c r="G1609" s="36"/>
      <x:c r="J1609" s="38"/>
    </x:row>
    <x:row r="1610">
      <x:c r="A1610" s="34"/>
      <x:c r="F1610" s="34"/>
      <x:c r="G1610" s="36"/>
      <x:c r="J1610" s="38"/>
    </x:row>
    <x:row r="1611">
      <x:c r="A1611" s="34"/>
      <x:c r="F1611" s="34"/>
      <x:c r="G1611" s="36"/>
      <x:c r="J1611" s="38"/>
    </x:row>
    <x:row r="1612">
      <x:c r="A1612" s="34"/>
      <x:c r="F1612" s="34"/>
      <x:c r="G1612" s="36"/>
      <x:c r="J1612" s="38"/>
    </x:row>
    <x:row r="1613">
      <x:c r="A1613" s="34"/>
      <x:c r="F1613" s="34"/>
      <x:c r="G1613" s="36"/>
      <x:c r="J1613" s="38"/>
    </x:row>
    <x:row r="1614">
      <x:c r="A1614" s="34"/>
      <x:c r="F1614" s="34"/>
      <x:c r="G1614" s="36"/>
      <x:c r="J1614" s="38"/>
    </x:row>
    <x:row r="1615">
      <x:c r="A1615" s="34"/>
      <x:c r="F1615" s="34"/>
      <x:c r="G1615" s="36"/>
      <x:c r="J1615" s="38"/>
    </x:row>
    <x:row r="1616">
      <x:c r="A1616" s="34"/>
      <x:c r="F1616" s="34"/>
      <x:c r="G1616" s="36"/>
      <x:c r="J1616" s="38"/>
    </x:row>
    <x:row r="1617">
      <x:c r="A1617" s="34"/>
      <x:c r="F1617" s="34"/>
      <x:c r="G1617" s="36"/>
      <x:c r="J1617" s="38"/>
    </x:row>
    <x:row r="1618">
      <x:c r="A1618" s="34"/>
      <x:c r="F1618" s="34"/>
      <x:c r="G1618" s="36"/>
      <x:c r="J1618" s="38"/>
    </x:row>
    <x:row r="1619">
      <x:c r="A1619" s="34"/>
      <x:c r="F1619" s="34"/>
      <x:c r="G1619" s="36"/>
      <x:c r="J1619" s="38"/>
    </x:row>
    <x:row r="1620">
      <x:c r="A1620" s="34"/>
      <x:c r="F1620" s="34"/>
      <x:c r="G1620" s="36"/>
      <x:c r="J1620" s="38"/>
    </x:row>
    <x:row r="1621">
      <x:c r="A1621" s="34"/>
      <x:c r="F1621" s="34"/>
      <x:c r="G1621" s="36"/>
      <x:c r="J1621" s="38"/>
    </x:row>
    <x:row r="1622">
      <x:c r="A1622" s="34"/>
      <x:c r="F1622" s="34"/>
      <x:c r="G1622" s="36"/>
      <x:c r="J1622" s="38"/>
    </x:row>
    <x:row r="1623">
      <x:c r="A1623" s="34"/>
      <x:c r="F1623" s="34"/>
      <x:c r="G1623" s="36"/>
      <x:c r="J1623" s="38"/>
    </x:row>
    <x:row r="1624">
      <x:c r="A1624" s="34"/>
      <x:c r="F1624" s="34"/>
      <x:c r="G1624" s="36"/>
      <x:c r="J1624" s="38"/>
    </x:row>
    <x:row r="1625">
      <x:c r="A1625" s="34"/>
      <x:c r="F1625" s="34"/>
      <x:c r="G1625" s="36"/>
      <x:c r="J1625" s="38"/>
    </x:row>
    <x:row r="1626">
      <x:c r="A1626" s="34"/>
      <x:c r="F1626" s="34"/>
      <x:c r="G1626" s="36"/>
      <x:c r="J1626" s="38"/>
    </x:row>
    <x:row r="1627">
      <x:c r="A1627" s="34"/>
      <x:c r="F1627" s="34"/>
      <x:c r="G1627" s="36"/>
      <x:c r="J1627" s="38"/>
    </x:row>
    <x:row r="1628">
      <x:c r="A1628" s="34"/>
      <x:c r="F1628" s="34"/>
      <x:c r="G1628" s="36"/>
      <x:c r="J1628" s="38"/>
    </x:row>
    <x:row r="1629">
      <x:c r="A1629" s="34"/>
      <x:c r="F1629" s="34"/>
      <x:c r="G1629" s="36"/>
      <x:c r="J1629" s="38"/>
    </x:row>
    <x:row r="1630">
      <x:c r="A1630" s="34"/>
      <x:c r="F1630" s="34"/>
      <x:c r="G1630" s="36"/>
      <x:c r="J1630" s="38"/>
    </x:row>
    <x:row r="1631">
      <x:c r="A1631" s="34"/>
      <x:c r="F1631" s="34"/>
      <x:c r="G1631" s="36"/>
      <x:c r="J1631" s="38"/>
    </x:row>
    <x:row r="1632">
      <x:c r="A1632" s="34"/>
      <x:c r="F1632" s="34"/>
      <x:c r="G1632" s="36"/>
      <x:c r="J1632" s="38"/>
    </x:row>
    <x:row r="1633">
      <x:c r="A1633" s="34"/>
      <x:c r="F1633" s="34"/>
      <x:c r="G1633" s="36"/>
      <x:c r="J1633" s="38"/>
    </x:row>
    <x:row r="1634">
      <x:c r="A1634" s="34"/>
      <x:c r="F1634" s="34"/>
      <x:c r="G1634" s="36"/>
      <x:c r="J1634" s="38"/>
    </x:row>
    <x:row r="1635">
      <x:c r="A1635" s="34"/>
      <x:c r="F1635" s="34"/>
      <x:c r="G1635" s="36"/>
      <x:c r="J1635" s="38"/>
    </x:row>
    <x:row r="1636">
      <x:c r="A1636" s="34"/>
      <x:c r="F1636" s="34"/>
      <x:c r="G1636" s="36"/>
      <x:c r="J1636" s="38"/>
    </x:row>
    <x:row r="1637">
      <x:c r="A1637" s="34"/>
      <x:c r="F1637" s="34"/>
      <x:c r="G1637" s="36"/>
      <x:c r="J1637" s="38"/>
    </x:row>
    <x:row r="1638">
      <x:c r="A1638" s="34"/>
      <x:c r="F1638" s="34"/>
      <x:c r="G1638" s="36"/>
      <x:c r="J1638" s="38"/>
    </x:row>
    <x:row r="1639">
      <x:c r="A1639" s="34"/>
      <x:c r="F1639" s="34"/>
      <x:c r="G1639" s="36"/>
      <x:c r="J1639" s="38"/>
    </x:row>
    <x:row r="1640">
      <x:c r="A1640" s="34"/>
      <x:c r="F1640" s="34"/>
      <x:c r="G1640" s="36"/>
      <x:c r="J1640" s="38"/>
    </x:row>
    <x:row r="1641">
      <x:c r="A1641" s="34"/>
      <x:c r="F1641" s="34"/>
      <x:c r="G1641" s="36"/>
      <x:c r="J1641" s="38"/>
    </x:row>
    <x:row r="1642">
      <x:c r="A1642" s="34"/>
      <x:c r="F1642" s="34"/>
      <x:c r="G1642" s="36"/>
      <x:c r="J1642" s="38"/>
    </x:row>
    <x:row r="1643">
      <x:c r="A1643" s="34"/>
      <x:c r="F1643" s="34"/>
      <x:c r="G1643" s="36"/>
      <x:c r="J1643" s="38"/>
    </x:row>
    <x:row r="1644">
      <x:c r="A1644" s="34"/>
      <x:c r="F1644" s="34"/>
      <x:c r="G1644" s="36"/>
      <x:c r="J1644" s="38"/>
    </x:row>
    <x:row r="1645">
      <x:c r="A1645" s="34"/>
      <x:c r="F1645" s="34"/>
      <x:c r="G1645" s="36"/>
      <x:c r="J1645" s="38"/>
    </x:row>
    <x:row r="1646">
      <x:c r="A1646" s="34"/>
      <x:c r="F1646" s="34"/>
      <x:c r="G1646" s="36"/>
      <x:c r="J1646" s="38"/>
    </x:row>
    <x:row r="1647">
      <x:c r="A1647" s="34"/>
      <x:c r="F1647" s="34"/>
      <x:c r="G1647" s="36"/>
      <x:c r="J1647" s="38"/>
    </x:row>
    <x:row r="1648">
      <x:c r="A1648" s="34"/>
      <x:c r="F1648" s="34"/>
      <x:c r="G1648" s="36"/>
      <x:c r="J1648" s="38"/>
    </x:row>
    <x:row r="1649">
      <x:c r="A1649" s="34"/>
      <x:c r="F1649" s="34"/>
      <x:c r="G1649" s="36"/>
      <x:c r="J1649" s="38"/>
    </x:row>
    <x:row r="1650">
      <x:c r="A1650" s="34"/>
      <x:c r="F1650" s="34"/>
      <x:c r="G1650" s="36"/>
      <x:c r="J1650" s="38"/>
    </x:row>
    <x:row r="1651">
      <x:c r="A1651" s="34"/>
      <x:c r="F1651" s="34"/>
      <x:c r="G1651" s="36"/>
      <x:c r="J1651" s="38"/>
    </x:row>
    <x:row r="1652">
      <x:c r="A1652" s="34"/>
      <x:c r="F1652" s="34"/>
      <x:c r="G1652" s="36"/>
      <x:c r="J1652" s="38"/>
    </x:row>
    <x:row r="1653">
      <x:c r="A1653" s="34"/>
      <x:c r="F1653" s="34"/>
      <x:c r="G1653" s="36"/>
      <x:c r="J1653" s="38"/>
    </x:row>
    <x:row r="1654">
      <x:c r="A1654" s="34"/>
      <x:c r="F1654" s="34"/>
      <x:c r="G1654" s="36"/>
      <x:c r="J1654" s="38"/>
    </x:row>
    <x:row r="1655">
      <x:c r="A1655" s="34"/>
      <x:c r="F1655" s="34"/>
      <x:c r="G1655" s="36"/>
      <x:c r="J1655" s="38"/>
    </x:row>
    <x:row r="1656">
      <x:c r="A1656" s="34"/>
      <x:c r="F1656" s="34"/>
      <x:c r="G1656" s="36"/>
      <x:c r="J1656" s="38"/>
    </x:row>
    <x:row r="1657">
      <x:c r="A1657" s="34"/>
      <x:c r="F1657" s="34"/>
      <x:c r="G1657" s="36"/>
      <x:c r="J1657" s="38"/>
    </x:row>
    <x:row r="1658">
      <x:c r="A1658" s="34"/>
      <x:c r="F1658" s="34"/>
      <x:c r="G1658" s="36"/>
      <x:c r="J1658" s="38"/>
    </x:row>
    <x:row r="1659">
      <x:c r="A1659" s="34"/>
      <x:c r="F1659" s="34"/>
      <x:c r="G1659" s="36"/>
      <x:c r="J1659" s="38"/>
    </x:row>
    <x:row r="1660">
      <x:c r="A1660" s="34"/>
      <x:c r="F1660" s="34"/>
      <x:c r="G1660" s="36"/>
      <x:c r="J1660" s="38"/>
    </x:row>
    <x:row r="1661">
      <x:c r="A1661" s="34"/>
      <x:c r="F1661" s="34"/>
      <x:c r="G1661" s="36"/>
      <x:c r="J1661" s="38"/>
    </x:row>
    <x:row r="1662">
      <x:c r="A1662" s="34"/>
      <x:c r="F1662" s="34"/>
      <x:c r="G1662" s="36"/>
      <x:c r="J1662" s="38"/>
    </x:row>
    <x:row r="1663">
      <x:c r="A1663" s="34"/>
      <x:c r="F1663" s="34"/>
      <x:c r="G1663" s="36"/>
      <x:c r="J1663" s="38"/>
    </x:row>
    <x:row r="1664">
      <x:c r="A1664" s="34"/>
      <x:c r="F1664" s="34"/>
      <x:c r="G1664" s="36"/>
      <x:c r="J1664" s="38"/>
    </x:row>
    <x:row r="1665">
      <x:c r="A1665" s="34"/>
      <x:c r="F1665" s="34"/>
      <x:c r="G1665" s="36"/>
      <x:c r="J1665" s="38"/>
    </x:row>
    <x:row r="1666">
      <x:c r="A1666" s="34"/>
      <x:c r="F1666" s="34"/>
      <x:c r="G1666" s="36"/>
      <x:c r="J1666" s="38"/>
    </x:row>
    <x:row r="1667">
      <x:c r="A1667" s="34"/>
      <x:c r="F1667" s="34"/>
      <x:c r="G1667" s="36"/>
      <x:c r="J1667" s="38"/>
    </x:row>
    <x:row r="1668">
      <x:c r="A1668" s="34"/>
      <x:c r="F1668" s="34"/>
      <x:c r="G1668" s="36"/>
      <x:c r="J1668" s="38"/>
    </x:row>
    <x:row r="1669">
      <x:c r="A1669" s="34"/>
      <x:c r="F1669" s="34"/>
      <x:c r="G1669" s="36"/>
      <x:c r="J1669" s="38"/>
    </x:row>
    <x:row r="1670">
      <x:c r="A1670" s="34"/>
      <x:c r="F1670" s="34"/>
      <x:c r="G1670" s="36"/>
      <x:c r="J1670" s="38"/>
    </x:row>
    <x:row r="1671">
      <x:c r="A1671" s="34"/>
      <x:c r="F1671" s="34"/>
      <x:c r="G1671" s="36"/>
      <x:c r="J1671" s="38"/>
    </x:row>
    <x:row r="1672">
      <x:c r="A1672" s="34"/>
      <x:c r="F1672" s="34"/>
      <x:c r="G1672" s="36"/>
      <x:c r="J1672" s="38"/>
    </x:row>
    <x:row r="1673">
      <x:c r="A1673" s="34"/>
      <x:c r="F1673" s="34"/>
      <x:c r="G1673" s="36"/>
      <x:c r="J1673" s="38"/>
    </x:row>
    <x:row r="1674">
      <x:c r="A1674" s="34"/>
      <x:c r="F1674" s="34"/>
      <x:c r="G1674" s="36"/>
      <x:c r="J1674" s="38"/>
    </x:row>
    <x:row r="1675">
      <x:c r="A1675" s="34"/>
      <x:c r="F1675" s="34"/>
      <x:c r="G1675" s="36"/>
      <x:c r="J1675" s="38"/>
    </x:row>
    <x:row r="1676">
      <x:c r="A1676" s="34"/>
      <x:c r="F1676" s="34"/>
      <x:c r="G1676" s="36"/>
      <x:c r="J1676" s="38"/>
    </x:row>
    <x:row r="1677">
      <x:c r="A1677" s="34"/>
      <x:c r="F1677" s="34"/>
      <x:c r="G1677" s="36"/>
      <x:c r="J1677" s="38"/>
    </x:row>
    <x:row r="1678">
      <x:c r="A1678" s="34"/>
      <x:c r="F1678" s="34"/>
      <x:c r="G1678" s="36"/>
      <x:c r="J1678" s="38"/>
    </x:row>
    <x:row r="1679">
      <x:c r="A1679" s="34"/>
      <x:c r="F1679" s="34"/>
      <x:c r="G1679" s="36"/>
      <x:c r="J1679" s="38"/>
    </x:row>
    <x:row r="1680">
      <x:c r="A1680" s="34"/>
      <x:c r="F1680" s="34"/>
      <x:c r="G1680" s="36"/>
      <x:c r="J1680" s="38"/>
    </x:row>
    <x:row r="1681">
      <x:c r="A1681" s="34"/>
      <x:c r="F1681" s="34"/>
      <x:c r="G1681" s="36"/>
      <x:c r="J1681" s="38"/>
    </x:row>
    <x:row r="1682">
      <x:c r="A1682" s="34"/>
      <x:c r="F1682" s="34"/>
      <x:c r="G1682" s="36"/>
      <x:c r="J1682" s="38"/>
    </x:row>
    <x:row r="1683">
      <x:c r="A1683" s="34"/>
      <x:c r="F1683" s="34"/>
      <x:c r="G1683" s="36"/>
      <x:c r="J1683" s="38"/>
    </x:row>
    <x:row r="1684">
      <x:c r="A1684" s="34"/>
      <x:c r="F1684" s="34"/>
      <x:c r="G1684" s="36"/>
      <x:c r="J1684" s="38"/>
    </x:row>
    <x:row r="1685">
      <x:c r="A1685" s="34"/>
      <x:c r="F1685" s="34"/>
      <x:c r="G1685" s="36"/>
      <x:c r="J1685" s="38"/>
    </x:row>
    <x:row r="1686">
      <x:c r="A1686" s="34"/>
      <x:c r="F1686" s="34"/>
      <x:c r="G1686" s="36"/>
      <x:c r="J1686" s="38"/>
    </x:row>
    <x:row r="1687">
      <x:c r="A1687" s="34"/>
      <x:c r="F1687" s="34"/>
      <x:c r="G1687" s="36"/>
      <x:c r="J1687" s="38"/>
    </x:row>
    <x:row r="1688">
      <x:c r="A1688" s="34"/>
      <x:c r="F1688" s="34"/>
      <x:c r="G1688" s="36"/>
      <x:c r="J1688" s="38"/>
    </x:row>
    <x:row r="1689">
      <x:c r="A1689" s="34"/>
      <x:c r="F1689" s="34"/>
      <x:c r="G1689" s="36"/>
      <x:c r="J1689" s="38"/>
    </x:row>
    <x:row r="1690">
      <x:c r="A1690" s="34"/>
      <x:c r="F1690" s="34"/>
      <x:c r="G1690" s="36"/>
      <x:c r="J1690" s="38"/>
    </x:row>
    <x:row r="1691">
      <x:c r="A1691" s="34"/>
      <x:c r="F1691" s="34"/>
      <x:c r="G1691" s="36"/>
      <x:c r="J1691" s="38"/>
    </x:row>
    <x:row r="1692">
      <x:c r="A1692" s="34"/>
      <x:c r="F1692" s="34"/>
      <x:c r="G1692" s="36"/>
      <x:c r="J1692" s="38"/>
    </x:row>
    <x:row r="1693">
      <x:c r="A1693" s="34"/>
      <x:c r="F1693" s="34"/>
      <x:c r="G1693" s="36"/>
      <x:c r="J1693" s="38"/>
    </x:row>
    <x:row r="1694">
      <x:c r="A1694" s="34"/>
      <x:c r="F1694" s="34"/>
      <x:c r="G1694" s="36"/>
      <x:c r="J1694" s="38"/>
    </x:row>
    <x:row r="1695">
      <x:c r="A1695" s="34"/>
      <x:c r="F1695" s="34"/>
      <x:c r="G1695" s="36"/>
      <x:c r="J1695" s="38"/>
    </x:row>
    <x:row r="1696">
      <x:c r="A1696" s="34"/>
      <x:c r="F1696" s="34"/>
      <x:c r="G1696" s="36"/>
      <x:c r="J1696" s="38"/>
    </x:row>
    <x:row r="1697">
      <x:c r="A1697" s="34"/>
      <x:c r="F1697" s="34"/>
      <x:c r="G1697" s="36"/>
      <x:c r="J1697" s="38"/>
    </x:row>
    <x:row r="1698">
      <x:c r="A1698" s="34"/>
      <x:c r="F1698" s="34"/>
      <x:c r="G1698" s="36"/>
      <x:c r="J1698" s="38"/>
    </x:row>
    <x:row r="1699">
      <x:c r="A1699" s="34"/>
      <x:c r="F1699" s="34"/>
      <x:c r="G1699" s="36"/>
      <x:c r="J1699" s="38"/>
    </x:row>
    <x:row r="1700">
      <x:c r="A1700" s="34"/>
      <x:c r="F1700" s="34"/>
      <x:c r="G1700" s="36"/>
      <x:c r="J1700" s="38"/>
    </x:row>
    <x:row r="1701">
      <x:c r="A1701" s="34"/>
      <x:c r="F1701" s="34"/>
      <x:c r="G1701" s="36"/>
      <x:c r="J1701" s="38"/>
    </x:row>
    <x:row r="1702">
      <x:c r="A1702" s="34"/>
      <x:c r="F1702" s="34"/>
      <x:c r="G1702" s="36"/>
      <x:c r="J1702" s="38"/>
    </x:row>
    <x:row r="1703">
      <x:c r="A1703" s="34"/>
      <x:c r="F1703" s="34"/>
      <x:c r="G1703" s="36"/>
      <x:c r="J1703" s="38"/>
    </x:row>
    <x:row r="1704">
      <x:c r="A1704" s="34"/>
      <x:c r="F1704" s="34"/>
      <x:c r="G1704" s="36"/>
      <x:c r="J1704" s="38"/>
    </x:row>
    <x:row r="1705">
      <x:c r="A1705" s="34"/>
      <x:c r="F1705" s="34"/>
      <x:c r="G1705" s="36"/>
      <x:c r="J1705" s="38"/>
    </x:row>
    <x:row r="1706">
      <x:c r="A1706" s="34"/>
      <x:c r="F1706" s="34"/>
      <x:c r="G1706" s="36"/>
      <x:c r="J1706" s="38"/>
    </x:row>
    <x:row r="1707">
      <x:c r="A1707" s="34"/>
      <x:c r="F1707" s="34"/>
      <x:c r="G1707" s="36"/>
      <x:c r="J1707" s="38"/>
    </x:row>
    <x:row r="1708">
      <x:c r="A1708" s="34"/>
      <x:c r="F1708" s="34"/>
      <x:c r="G1708" s="36"/>
      <x:c r="J1708" s="38"/>
    </x:row>
    <x:row r="1709">
      <x:c r="A1709" s="34"/>
      <x:c r="F1709" s="34"/>
      <x:c r="G1709" s="36"/>
      <x:c r="J1709" s="38"/>
    </x:row>
    <x:row r="1710">
      <x:c r="A1710" s="34"/>
      <x:c r="F1710" s="34"/>
      <x:c r="G1710" s="36"/>
      <x:c r="J1710" s="38"/>
    </x:row>
    <x:row r="1711">
      <x:c r="A1711" s="34"/>
      <x:c r="F1711" s="34"/>
      <x:c r="G1711" s="36"/>
      <x:c r="J1711" s="38"/>
    </x:row>
    <x:row r="1712">
      <x:c r="A1712" s="34"/>
      <x:c r="F1712" s="34"/>
      <x:c r="G1712" s="36"/>
      <x:c r="J1712" s="38"/>
    </x:row>
    <x:row r="1713">
      <x:c r="A1713" s="34"/>
      <x:c r="F1713" s="34"/>
      <x:c r="G1713" s="36"/>
      <x:c r="J1713" s="38"/>
    </x:row>
    <x:row r="1714">
      <x:c r="A1714" s="34"/>
      <x:c r="F1714" s="34"/>
      <x:c r="G1714" s="36"/>
      <x:c r="J1714" s="38"/>
    </x:row>
    <x:row r="1715">
      <x:c r="A1715" s="34"/>
      <x:c r="F1715" s="34"/>
      <x:c r="G1715" s="36"/>
      <x:c r="J1715" s="38"/>
    </x:row>
    <x:row r="1716">
      <x:c r="A1716" s="34"/>
      <x:c r="F1716" s="34"/>
      <x:c r="G1716" s="36"/>
      <x:c r="J1716" s="38"/>
    </x:row>
    <x:row r="1717">
      <x:c r="A1717" s="34"/>
      <x:c r="F1717" s="34"/>
      <x:c r="G1717" s="36"/>
      <x:c r="J1717" s="38"/>
    </x:row>
    <x:row r="1718">
      <x:c r="A1718" s="34"/>
      <x:c r="F1718" s="34"/>
      <x:c r="G1718" s="36"/>
      <x:c r="J1718" s="38"/>
    </x:row>
    <x:row r="1719">
      <x:c r="A1719" s="34"/>
      <x:c r="F1719" s="34"/>
      <x:c r="G1719" s="36"/>
      <x:c r="J1719" s="38"/>
    </x:row>
    <x:row r="1720">
      <x:c r="A1720" s="34"/>
      <x:c r="F1720" s="34"/>
      <x:c r="G1720" s="36"/>
      <x:c r="J1720" s="38"/>
    </x:row>
    <x:row r="1721">
      <x:c r="A1721" s="34"/>
      <x:c r="F1721" s="34"/>
      <x:c r="G1721" s="36"/>
      <x:c r="J1721" s="38"/>
    </x:row>
    <x:row r="1722">
      <x:c r="A1722" s="34"/>
      <x:c r="F1722" s="34"/>
      <x:c r="G1722" s="36"/>
      <x:c r="J1722" s="38"/>
    </x:row>
    <x:row r="1723">
      <x:c r="A1723" s="34"/>
      <x:c r="F1723" s="34"/>
      <x:c r="G1723" s="36"/>
      <x:c r="J1723" s="38"/>
    </x:row>
    <x:row r="1724">
      <x:c r="A1724" s="34"/>
      <x:c r="F1724" s="34"/>
      <x:c r="G1724" s="36"/>
      <x:c r="J1724" s="38"/>
    </x:row>
    <x:row r="1725">
      <x:c r="A1725" s="34"/>
      <x:c r="F1725" s="34"/>
      <x:c r="G1725" s="36"/>
      <x:c r="J1725" s="38"/>
    </x:row>
    <x:row r="1726">
      <x:c r="A1726" s="34"/>
      <x:c r="F1726" s="34"/>
      <x:c r="G1726" s="36"/>
      <x:c r="J1726" s="38"/>
    </x:row>
    <x:row r="1727">
      <x:c r="A1727" s="34"/>
      <x:c r="F1727" s="34"/>
      <x:c r="G1727" s="36"/>
      <x:c r="J1727" s="38"/>
    </x:row>
    <x:row r="1728">
      <x:c r="A1728" s="34"/>
      <x:c r="F1728" s="34"/>
      <x:c r="G1728" s="36"/>
      <x:c r="J1728" s="38"/>
    </x:row>
    <x:row r="1729">
      <x:c r="A1729" s="34"/>
      <x:c r="F1729" s="34"/>
      <x:c r="G1729" s="36"/>
      <x:c r="J1729" s="38"/>
    </x:row>
    <x:row r="1730">
      <x:c r="A1730" s="34"/>
      <x:c r="F1730" s="34"/>
      <x:c r="G1730" s="36"/>
      <x:c r="J1730" s="38"/>
    </x:row>
    <x:row r="1731">
      <x:c r="A1731" s="34"/>
      <x:c r="F1731" s="34"/>
      <x:c r="G1731" s="36"/>
      <x:c r="J1731" s="38"/>
    </x:row>
    <x:row r="1732">
      <x:c r="A1732" s="34"/>
      <x:c r="F1732" s="34"/>
      <x:c r="G1732" s="36"/>
      <x:c r="J1732" s="38"/>
    </x:row>
    <x:row r="1733">
      <x:c r="A1733" s="34"/>
      <x:c r="F1733" s="34"/>
      <x:c r="G1733" s="36"/>
      <x:c r="J1733" s="38"/>
    </x:row>
    <x:row r="1734">
      <x:c r="A1734" s="34"/>
      <x:c r="F1734" s="34"/>
      <x:c r="G1734" s="36"/>
      <x:c r="J1734" s="38"/>
    </x:row>
    <x:row r="1735">
      <x:c r="A1735" s="34"/>
      <x:c r="F1735" s="34"/>
      <x:c r="G1735" s="36"/>
      <x:c r="J1735" s="38"/>
    </x:row>
    <x:row r="1736">
      <x:c r="A1736" s="34"/>
      <x:c r="F1736" s="34"/>
      <x:c r="G1736" s="36"/>
      <x:c r="J1736" s="38"/>
    </x:row>
    <x:row r="1737">
      <x:c r="A1737" s="34"/>
      <x:c r="F1737" s="34"/>
      <x:c r="G1737" s="36"/>
      <x:c r="J1737" s="38"/>
    </x:row>
    <x:row r="1738">
      <x:c r="A1738" s="34"/>
      <x:c r="F1738" s="34"/>
      <x:c r="G1738" s="36"/>
      <x:c r="J1738" s="38"/>
    </x:row>
    <x:row r="1739">
      <x:c r="A1739" s="34"/>
      <x:c r="F1739" s="34"/>
      <x:c r="G1739" s="36"/>
      <x:c r="J1739" s="38"/>
    </x:row>
    <x:row r="1740">
      <x:c r="A1740" s="34"/>
      <x:c r="F1740" s="34"/>
      <x:c r="G1740" s="36"/>
      <x:c r="J1740" s="38"/>
    </x:row>
    <x:row r="1741">
      <x:c r="A1741" s="34"/>
      <x:c r="F1741" s="34"/>
      <x:c r="G1741" s="36"/>
      <x:c r="J1741" s="38"/>
    </x:row>
    <x:row r="1742">
      <x:c r="A1742" s="34"/>
      <x:c r="F1742" s="34"/>
      <x:c r="G1742" s="36"/>
      <x:c r="J1742" s="38"/>
    </x:row>
    <x:row r="1743">
      <x:c r="A1743" s="34"/>
      <x:c r="F1743" s="34"/>
      <x:c r="G1743" s="36"/>
      <x:c r="J1743" s="38"/>
    </x:row>
    <x:row r="1744">
      <x:c r="A1744" s="34"/>
      <x:c r="F1744" s="34"/>
      <x:c r="G1744" s="36"/>
      <x:c r="J1744" s="38"/>
    </x:row>
    <x:row r="1745">
      <x:c r="A1745" s="34"/>
      <x:c r="F1745" s="34"/>
      <x:c r="G1745" s="36"/>
      <x:c r="J1745" s="38"/>
    </x:row>
    <x:row r="1746">
      <x:c r="A1746" s="34"/>
      <x:c r="F1746" s="34"/>
      <x:c r="G1746" s="36"/>
      <x:c r="J1746" s="38"/>
    </x:row>
    <x:row r="1747">
      <x:c r="A1747" s="34"/>
      <x:c r="F1747" s="34"/>
      <x:c r="G1747" s="36"/>
      <x:c r="J1747" s="38"/>
    </x:row>
    <x:row r="1748">
      <x:c r="A1748" s="34"/>
      <x:c r="F1748" s="34"/>
      <x:c r="G1748" s="36"/>
      <x:c r="J1748" s="38"/>
    </x:row>
    <x:row r="1749">
      <x:c r="A1749" s="34"/>
      <x:c r="F1749" s="34"/>
      <x:c r="G1749" s="36"/>
      <x:c r="J1749" s="38"/>
    </x:row>
    <x:row r="1750">
      <x:c r="A1750" s="34"/>
      <x:c r="F1750" s="34"/>
      <x:c r="G1750" s="36"/>
      <x:c r="J1750" s="38"/>
    </x:row>
    <x:row r="1751">
      <x:c r="A1751" s="34"/>
      <x:c r="F1751" s="34"/>
      <x:c r="G1751" s="36"/>
      <x:c r="J1751" s="38"/>
    </x:row>
    <x:row r="1752">
      <x:c r="A1752" s="34"/>
      <x:c r="F1752" s="34"/>
      <x:c r="G1752" s="36"/>
      <x:c r="J1752" s="38"/>
    </x:row>
    <x:row r="1753">
      <x:c r="A1753" s="34"/>
      <x:c r="F1753" s="34"/>
      <x:c r="G1753" s="36"/>
      <x:c r="J1753" s="38"/>
    </x:row>
    <x:row r="1754">
      <x:c r="A1754" s="34"/>
      <x:c r="F1754" s="34"/>
      <x:c r="G1754" s="36"/>
      <x:c r="J1754" s="38"/>
    </x:row>
    <x:row r="1755">
      <x:c r="A1755" s="34"/>
      <x:c r="F1755" s="34"/>
      <x:c r="G1755" s="36"/>
      <x:c r="J1755" s="38"/>
    </x:row>
    <x:row r="1756">
      <x:c r="A1756" s="34"/>
      <x:c r="F1756" s="34"/>
      <x:c r="G1756" s="36"/>
      <x:c r="J1756" s="38"/>
    </x:row>
    <x:row r="1757">
      <x:c r="A1757" s="34"/>
      <x:c r="F1757" s="34"/>
      <x:c r="G1757" s="36"/>
      <x:c r="J1757" s="38"/>
    </x:row>
    <x:row r="1758">
      <x:c r="A1758" s="34"/>
      <x:c r="F1758" s="34"/>
      <x:c r="G1758" s="36"/>
      <x:c r="J1758" s="38"/>
    </x:row>
    <x:row r="1759">
      <x:c r="A1759" s="34"/>
      <x:c r="F1759" s="34"/>
      <x:c r="G1759" s="36"/>
      <x:c r="J1759" s="38"/>
    </x:row>
    <x:row r="1760">
      <x:c r="A1760" s="34"/>
      <x:c r="F1760" s="34"/>
      <x:c r="G1760" s="36"/>
      <x:c r="J1760" s="38"/>
    </x:row>
    <x:row r="1761">
      <x:c r="A1761" s="34"/>
      <x:c r="F1761" s="34"/>
      <x:c r="G1761" s="36"/>
      <x:c r="J1761" s="38"/>
    </x:row>
    <x:row r="1762">
      <x:c r="A1762" s="34"/>
      <x:c r="F1762" s="34"/>
      <x:c r="G1762" s="36"/>
      <x:c r="J1762" s="38"/>
    </x:row>
    <x:row r="1763">
      <x:c r="A1763" s="34"/>
      <x:c r="F1763" s="34"/>
      <x:c r="G1763" s="36"/>
      <x:c r="J1763" s="38"/>
    </x:row>
    <x:row r="1764">
      <x:c r="A1764" s="34"/>
      <x:c r="F1764" s="34"/>
      <x:c r="G1764" s="36"/>
      <x:c r="J1764" s="38"/>
    </x:row>
    <x:row r="1765">
      <x:c r="A1765" s="34"/>
      <x:c r="F1765" s="34"/>
      <x:c r="G1765" s="36"/>
      <x:c r="J1765" s="38"/>
    </x:row>
    <x:row r="1766">
      <x:c r="A1766" s="34"/>
      <x:c r="F1766" s="34"/>
      <x:c r="G1766" s="36"/>
      <x:c r="J1766" s="38"/>
    </x:row>
    <x:row r="1767">
      <x:c r="A1767" s="34"/>
      <x:c r="F1767" s="34"/>
      <x:c r="G1767" s="36"/>
      <x:c r="J1767" s="38"/>
    </x:row>
    <x:row r="1768">
      <x:c r="A1768" s="34"/>
      <x:c r="F1768" s="34"/>
      <x:c r="G1768" s="36"/>
      <x:c r="J1768" s="38"/>
    </x:row>
    <x:row r="1769">
      <x:c r="A1769" s="34"/>
      <x:c r="F1769" s="34"/>
      <x:c r="G1769" s="36"/>
      <x:c r="J1769" s="38"/>
    </x:row>
    <x:row r="1770">
      <x:c r="A1770" s="34"/>
      <x:c r="F1770" s="34"/>
      <x:c r="G1770" s="36"/>
      <x:c r="J1770" s="38"/>
    </x:row>
    <x:row r="1771">
      <x:c r="A1771" s="34"/>
      <x:c r="F1771" s="34"/>
      <x:c r="G1771" s="36"/>
      <x:c r="J1771" s="38"/>
    </x:row>
    <x:row r="1772">
      <x:c r="A1772" s="34"/>
      <x:c r="F1772" s="34"/>
      <x:c r="G1772" s="36"/>
      <x:c r="J1772" s="38"/>
    </x:row>
    <x:row r="1773">
      <x:c r="A1773" s="34"/>
      <x:c r="F1773" s="34"/>
      <x:c r="G1773" s="36"/>
      <x:c r="J1773" s="38"/>
    </x:row>
    <x:row r="1774">
      <x:c r="A1774" s="34"/>
      <x:c r="F1774" s="34"/>
      <x:c r="G1774" s="36"/>
      <x:c r="J1774" s="38"/>
    </x:row>
    <x:row r="1775">
      <x:c r="A1775" s="34"/>
      <x:c r="F1775" s="34"/>
      <x:c r="G1775" s="36"/>
      <x:c r="J1775" s="38"/>
    </x:row>
    <x:row r="1776">
      <x:c r="A1776" s="34"/>
      <x:c r="F1776" s="34"/>
      <x:c r="G1776" s="36"/>
      <x:c r="J1776" s="38"/>
    </x:row>
    <x:row r="1777">
      <x:c r="A1777" s="34"/>
      <x:c r="F1777" s="34"/>
      <x:c r="G1777" s="36"/>
      <x:c r="J1777" s="38"/>
    </x:row>
    <x:row r="1778">
      <x:c r="A1778" s="34"/>
      <x:c r="F1778" s="34"/>
      <x:c r="G1778" s="36"/>
      <x:c r="J1778" s="38"/>
    </x:row>
    <x:row r="1779">
      <x:c r="A1779" s="34"/>
      <x:c r="F1779" s="34"/>
      <x:c r="G1779" s="36"/>
      <x:c r="J1779" s="38"/>
    </x:row>
    <x:row r="1780">
      <x:c r="A1780" s="34"/>
      <x:c r="F1780" s="34"/>
      <x:c r="G1780" s="36"/>
      <x:c r="J1780" s="38"/>
    </x:row>
    <x:row r="1781">
      <x:c r="A1781" s="34"/>
      <x:c r="F1781" s="34"/>
      <x:c r="G1781" s="36"/>
      <x:c r="J1781" s="38"/>
    </x:row>
    <x:row r="1782">
      <x:c r="A1782" s="34"/>
      <x:c r="F1782" s="34"/>
      <x:c r="G1782" s="36"/>
      <x:c r="J1782" s="38"/>
    </x:row>
    <x:row r="1783">
      <x:c r="A1783" s="34"/>
      <x:c r="F1783" s="34"/>
      <x:c r="G1783" s="36"/>
      <x:c r="J1783" s="38"/>
    </x:row>
    <x:row r="1784">
      <x:c r="A1784" s="34"/>
      <x:c r="F1784" s="34"/>
      <x:c r="G1784" s="36"/>
      <x:c r="J1784" s="38"/>
    </x:row>
    <x:row r="1785">
      <x:c r="A1785" s="34"/>
      <x:c r="F1785" s="34"/>
      <x:c r="G1785" s="36"/>
      <x:c r="J1785" s="38"/>
    </x:row>
    <x:row r="1786">
      <x:c r="A1786" s="34"/>
      <x:c r="F1786" s="34"/>
      <x:c r="G1786" s="36"/>
      <x:c r="J1786" s="38"/>
    </x:row>
    <x:row r="1787">
      <x:c r="A1787" s="34"/>
      <x:c r="F1787" s="34"/>
      <x:c r="G1787" s="36"/>
      <x:c r="J1787" s="38"/>
    </x:row>
    <x:row r="1788">
      <x:c r="A1788" s="34"/>
      <x:c r="F1788" s="34"/>
      <x:c r="G1788" s="36"/>
      <x:c r="J1788" s="38"/>
    </x:row>
    <x:row r="1789">
      <x:c r="A1789" s="34"/>
      <x:c r="F1789" s="34"/>
      <x:c r="G1789" s="36"/>
      <x:c r="J1789" s="38"/>
    </x:row>
    <x:row r="1790">
      <x:c r="A1790" s="34"/>
      <x:c r="F1790" s="34"/>
      <x:c r="G1790" s="36"/>
      <x:c r="J1790" s="38"/>
    </x:row>
    <x:row r="1791">
      <x:c r="A1791" s="34"/>
      <x:c r="F1791" s="34"/>
      <x:c r="G1791" s="36"/>
      <x:c r="J1791" s="38"/>
    </x:row>
    <x:row r="1792">
      <x:c r="A1792" s="34"/>
      <x:c r="F1792" s="34"/>
      <x:c r="G1792" s="36"/>
      <x:c r="J1792" s="38"/>
    </x:row>
    <x:row r="1793">
      <x:c r="A1793" s="34"/>
      <x:c r="F1793" s="34"/>
      <x:c r="G1793" s="36"/>
      <x:c r="J1793" s="38"/>
    </x:row>
    <x:row r="1794">
      <x:c r="A1794" s="34"/>
      <x:c r="F1794" s="34"/>
      <x:c r="G1794" s="36"/>
      <x:c r="J1794" s="38"/>
    </x:row>
    <x:row r="1795">
      <x:c r="A1795" s="34"/>
      <x:c r="F1795" s="34"/>
      <x:c r="G1795" s="36"/>
      <x:c r="J1795" s="38"/>
    </x:row>
    <x:row r="1796">
      <x:c r="A1796" s="34"/>
      <x:c r="F1796" s="34"/>
      <x:c r="G1796" s="36"/>
      <x:c r="J1796" s="38"/>
    </x:row>
    <x:row r="1797">
      <x:c r="A1797" s="34"/>
      <x:c r="F1797" s="34"/>
      <x:c r="G1797" s="36"/>
      <x:c r="J1797" s="38"/>
    </x:row>
    <x:row r="1798">
      <x:c r="A1798" s="34"/>
      <x:c r="F1798" s="34"/>
      <x:c r="G1798" s="36"/>
      <x:c r="J1798" s="38"/>
    </x:row>
    <x:row r="1799">
      <x:c r="A1799" s="34"/>
      <x:c r="F1799" s="34"/>
      <x:c r="G1799" s="36"/>
      <x:c r="J1799" s="38"/>
    </x:row>
    <x:row r="1800">
      <x:c r="A1800" s="34"/>
      <x:c r="F1800" s="34"/>
      <x:c r="G1800" s="36"/>
      <x:c r="J1800" s="38"/>
    </x:row>
    <x:row r="1801">
      <x:c r="A1801" s="34"/>
      <x:c r="F1801" s="34"/>
      <x:c r="G1801" s="36"/>
      <x:c r="J1801" s="38"/>
    </x:row>
    <x:row r="1802">
      <x:c r="A1802" s="34"/>
      <x:c r="F1802" s="34"/>
      <x:c r="G1802" s="36"/>
      <x:c r="J1802" s="38"/>
    </x:row>
    <x:row r="1803">
      <x:c r="A1803" s="34"/>
      <x:c r="F1803" s="34"/>
      <x:c r="G1803" s="36"/>
      <x:c r="J1803" s="38"/>
    </x:row>
    <x:row r="1804">
      <x:c r="A1804" s="34"/>
      <x:c r="F1804" s="34"/>
      <x:c r="G1804" s="36"/>
      <x:c r="J1804" s="38"/>
    </x:row>
    <x:row r="1805">
      <x:c r="A1805" s="34"/>
      <x:c r="F1805" s="34"/>
      <x:c r="G1805" s="36"/>
      <x:c r="J1805" s="38"/>
    </x:row>
    <x:row r="1806">
      <x:c r="A1806" s="34"/>
      <x:c r="F1806" s="34"/>
      <x:c r="G1806" s="36"/>
      <x:c r="J1806" s="38"/>
    </x:row>
    <x:row r="1807">
      <x:c r="A1807" s="34"/>
      <x:c r="F1807" s="34"/>
      <x:c r="G1807" s="36"/>
      <x:c r="J1807" s="38"/>
    </x:row>
    <x:row r="1808">
      <x:c r="A1808" s="34"/>
      <x:c r="F1808" s="34"/>
      <x:c r="G1808" s="36"/>
      <x:c r="J1808" s="38"/>
    </x:row>
    <x:row r="1809">
      <x:c r="A1809" s="34"/>
      <x:c r="F1809" s="34"/>
      <x:c r="G1809" s="36"/>
      <x:c r="J1809" s="38"/>
    </x:row>
    <x:row r="1810">
      <x:c r="A1810" s="34"/>
      <x:c r="F1810" s="34"/>
      <x:c r="G1810" s="36"/>
      <x:c r="J1810" s="38"/>
    </x:row>
    <x:row r="1811">
      <x:c r="A1811" s="34"/>
      <x:c r="F1811" s="34"/>
      <x:c r="G1811" s="36"/>
      <x:c r="J1811" s="38"/>
    </x:row>
    <x:row r="1812">
      <x:c r="A1812" s="34"/>
      <x:c r="F1812" s="34"/>
      <x:c r="G1812" s="36"/>
      <x:c r="J1812" s="38"/>
    </x:row>
    <x:row r="1813">
      <x:c r="A1813" s="34"/>
      <x:c r="F1813" s="34"/>
      <x:c r="G1813" s="36"/>
      <x:c r="J1813" s="38"/>
    </x:row>
    <x:row r="1814">
      <x:c r="A1814" s="34"/>
      <x:c r="F1814" s="34"/>
      <x:c r="G1814" s="36"/>
      <x:c r="J1814" s="38"/>
    </x:row>
    <x:row r="1815">
      <x:c r="A1815" s="34"/>
      <x:c r="F1815" s="34"/>
      <x:c r="G1815" s="36"/>
      <x:c r="J1815" s="38"/>
    </x:row>
    <x:row r="1816">
      <x:c r="A1816" s="34"/>
      <x:c r="F1816" s="34"/>
      <x:c r="G1816" s="36"/>
      <x:c r="J1816" s="38"/>
    </x:row>
    <x:row r="1817">
      <x:c r="A1817" s="34"/>
      <x:c r="F1817" s="34"/>
      <x:c r="G1817" s="36"/>
      <x:c r="J1817" s="38"/>
    </x:row>
    <x:row r="1818">
      <x:c r="A1818" s="34"/>
      <x:c r="F1818" s="34"/>
      <x:c r="G1818" s="36"/>
      <x:c r="J1818" s="38"/>
    </x:row>
    <x:row r="1819">
      <x:c r="A1819" s="34"/>
      <x:c r="F1819" s="34"/>
      <x:c r="G1819" s="36"/>
      <x:c r="J1819" s="38"/>
    </x:row>
    <x:row r="1820">
      <x:c r="A1820" s="34"/>
      <x:c r="F1820" s="34"/>
      <x:c r="G1820" s="36"/>
      <x:c r="J1820" s="38"/>
    </x:row>
    <x:row r="1821">
      <x:c r="A1821" s="34"/>
      <x:c r="F1821" s="34"/>
      <x:c r="G1821" s="36"/>
      <x:c r="J1821" s="38"/>
    </x:row>
    <x:row r="1822">
      <x:c r="A1822" s="34"/>
      <x:c r="F1822" s="34"/>
      <x:c r="G1822" s="36"/>
      <x:c r="J1822" s="38"/>
    </x:row>
    <x:row r="1823">
      <x:c r="A1823" s="34"/>
      <x:c r="F1823" s="34"/>
      <x:c r="G1823" s="36"/>
      <x:c r="J1823" s="38"/>
    </x:row>
    <x:row r="1824">
      <x:c r="A1824" s="34"/>
      <x:c r="F1824" s="34"/>
      <x:c r="G1824" s="36"/>
      <x:c r="J1824" s="38"/>
    </x:row>
    <x:row r="1825">
      <x:c r="A1825" s="34"/>
      <x:c r="F1825" s="34"/>
      <x:c r="G1825" s="36"/>
      <x:c r="J1825" s="38"/>
    </x:row>
    <x:row r="1826">
      <x:c r="A1826" s="34"/>
      <x:c r="F1826" s="34"/>
      <x:c r="G1826" s="36"/>
      <x:c r="J1826" s="38"/>
    </x:row>
    <x:row r="1827">
      <x:c r="A1827" s="34"/>
      <x:c r="F1827" s="34"/>
      <x:c r="G1827" s="36"/>
      <x:c r="J1827" s="38"/>
    </x:row>
    <x:row r="1828">
      <x:c r="A1828" s="34"/>
      <x:c r="F1828" s="34"/>
      <x:c r="G1828" s="36"/>
      <x:c r="J1828" s="38"/>
    </x:row>
    <x:row r="1829">
      <x:c r="A1829" s="34"/>
      <x:c r="F1829" s="34"/>
      <x:c r="G1829" s="36"/>
      <x:c r="J1829" s="38"/>
    </x:row>
    <x:row r="1830">
      <x:c r="A1830" s="34"/>
      <x:c r="F1830" s="34"/>
      <x:c r="G1830" s="36"/>
      <x:c r="J1830" s="38"/>
    </x:row>
    <x:row r="1831">
      <x:c r="A1831" s="34"/>
      <x:c r="F1831" s="34"/>
      <x:c r="G1831" s="36"/>
      <x:c r="J1831" s="38"/>
    </x:row>
    <x:row r="1832">
      <x:c r="A1832" s="34"/>
      <x:c r="F1832" s="34"/>
      <x:c r="G1832" s="36"/>
      <x:c r="J1832" s="38"/>
    </x:row>
    <x:row r="1833">
      <x:c r="A1833" s="34"/>
      <x:c r="F1833" s="34"/>
      <x:c r="G1833" s="36"/>
      <x:c r="J1833" s="38"/>
    </x:row>
    <x:row r="1834">
      <x:c r="A1834" s="34"/>
      <x:c r="F1834" s="34"/>
      <x:c r="G1834" s="36"/>
      <x:c r="J1834" s="38"/>
    </x:row>
    <x:row r="1835">
      <x:c r="A1835" s="34"/>
      <x:c r="F1835" s="34"/>
      <x:c r="G1835" s="36"/>
      <x:c r="J1835" s="38"/>
    </x:row>
    <x:row r="1836">
      <x:c r="A1836" s="34"/>
      <x:c r="F1836" s="34"/>
      <x:c r="G1836" s="36"/>
      <x:c r="J1836" s="38"/>
    </x:row>
    <x:row r="1837">
      <x:c r="A1837" s="34"/>
      <x:c r="F1837" s="34"/>
      <x:c r="G1837" s="36"/>
      <x:c r="J1837" s="38"/>
    </x:row>
    <x:row r="1838">
      <x:c r="A1838" s="34"/>
      <x:c r="F1838" s="34"/>
      <x:c r="G1838" s="36"/>
      <x:c r="J1838" s="38"/>
    </x:row>
    <x:row r="1839">
      <x:c r="A1839" s="34"/>
      <x:c r="F1839" s="34"/>
      <x:c r="G1839" s="36"/>
      <x:c r="J1839" s="38"/>
    </x:row>
    <x:row r="1840">
      <x:c r="A1840" s="34"/>
      <x:c r="F1840" s="34"/>
      <x:c r="G1840" s="36"/>
      <x:c r="J1840" s="38"/>
    </x:row>
    <x:row r="1841">
      <x:c r="A1841" s="34"/>
      <x:c r="F1841" s="34"/>
      <x:c r="G1841" s="36"/>
      <x:c r="J1841" s="38"/>
    </x:row>
    <x:row r="1842">
      <x:c r="A1842" s="34"/>
      <x:c r="F1842" s="34"/>
      <x:c r="G1842" s="36"/>
      <x:c r="J1842" s="38"/>
    </x:row>
    <x:row r="1843">
      <x:c r="A1843" s="34"/>
      <x:c r="F1843" s="34"/>
      <x:c r="G1843" s="36"/>
      <x:c r="J1843" s="38"/>
    </x:row>
    <x:row r="1844">
      <x:c r="A1844" s="34"/>
      <x:c r="F1844" s="34"/>
      <x:c r="G1844" s="36"/>
      <x:c r="J1844" s="38"/>
    </x:row>
    <x:row r="1845">
      <x:c r="A1845" s="34"/>
      <x:c r="F1845" s="34"/>
      <x:c r="G1845" s="36"/>
      <x:c r="J1845" s="38"/>
    </x:row>
    <x:row r="1846">
      <x:c r="A1846" s="34"/>
      <x:c r="F1846" s="34"/>
      <x:c r="G1846" s="36"/>
      <x:c r="J1846" s="38"/>
    </x:row>
    <x:row r="1847">
      <x:c r="A1847" s="34"/>
      <x:c r="F1847" s="34"/>
      <x:c r="G1847" s="36"/>
      <x:c r="J1847" s="38"/>
    </x:row>
    <x:row r="1848">
      <x:c r="A1848" s="34"/>
      <x:c r="F1848" s="34"/>
      <x:c r="G1848" s="36"/>
      <x:c r="J1848" s="38"/>
    </x:row>
    <x:row r="1849">
      <x:c r="A1849" s="34"/>
      <x:c r="F1849" s="34"/>
      <x:c r="G1849" s="36"/>
      <x:c r="J1849" s="38"/>
    </x:row>
    <x:row r="1850">
      <x:c r="A1850" s="34"/>
      <x:c r="F1850" s="34"/>
      <x:c r="G1850" s="36"/>
      <x:c r="J1850" s="38"/>
    </x:row>
    <x:row r="1851">
      <x:c r="A1851" s="34"/>
      <x:c r="F1851" s="34"/>
      <x:c r="G1851" s="36"/>
      <x:c r="J1851" s="38"/>
    </x:row>
    <x:row r="1852">
      <x:c r="A1852" s="34"/>
      <x:c r="F1852" s="34"/>
      <x:c r="G1852" s="36"/>
      <x:c r="J1852" s="38"/>
    </x:row>
    <x:row r="1853">
      <x:c r="A1853" s="34"/>
      <x:c r="F1853" s="34"/>
      <x:c r="G1853" s="36"/>
      <x:c r="J1853" s="38"/>
    </x:row>
    <x:row r="1854">
      <x:c r="A1854" s="34"/>
      <x:c r="F1854" s="34"/>
      <x:c r="G1854" s="36"/>
      <x:c r="J1854" s="38"/>
    </x:row>
    <x:row r="1855">
      <x:c r="A1855" s="34"/>
      <x:c r="F1855" s="34"/>
      <x:c r="G1855" s="36"/>
      <x:c r="J1855" s="38"/>
    </x:row>
    <x:row r="1856">
      <x:c r="A1856" s="34"/>
      <x:c r="F1856" s="34"/>
      <x:c r="G1856" s="36"/>
      <x:c r="J1856" s="38"/>
    </x:row>
    <x:row r="1857">
      <x:c r="A1857" s="34"/>
      <x:c r="F1857" s="34"/>
      <x:c r="G1857" s="36"/>
      <x:c r="J1857" s="38"/>
    </x:row>
    <x:row r="1858">
      <x:c r="A1858" s="34"/>
      <x:c r="F1858" s="34"/>
      <x:c r="G1858" s="36"/>
      <x:c r="J1858" s="38"/>
    </x:row>
    <x:row r="1859">
      <x:c r="A1859" s="34"/>
      <x:c r="F1859" s="34"/>
      <x:c r="G1859" s="36"/>
      <x:c r="J1859" s="38"/>
    </x:row>
    <x:row r="1860">
      <x:c r="A1860" s="34"/>
      <x:c r="F1860" s="34"/>
      <x:c r="G1860" s="36"/>
      <x:c r="J1860" s="38"/>
    </x:row>
    <x:row r="1861">
      <x:c r="A1861" s="34"/>
      <x:c r="F1861" s="34"/>
      <x:c r="G1861" s="36"/>
      <x:c r="J1861" s="38"/>
    </x:row>
    <x:row r="1862">
      <x:c r="A1862" s="34"/>
      <x:c r="F1862" s="34"/>
      <x:c r="G1862" s="36"/>
      <x:c r="J1862" s="38"/>
    </x:row>
    <x:row r="1863">
      <x:c r="A1863" s="34"/>
      <x:c r="F1863" s="34"/>
      <x:c r="G1863" s="36"/>
      <x:c r="J1863" s="38"/>
    </x:row>
    <x:row r="1864">
      <x:c r="A1864" s="34"/>
      <x:c r="F1864" s="34"/>
      <x:c r="G1864" s="36"/>
      <x:c r="J1864" s="38"/>
    </x:row>
    <x:row r="1865">
      <x:c r="A1865" s="34"/>
      <x:c r="F1865" s="34"/>
      <x:c r="G1865" s="36"/>
      <x:c r="J1865" s="38"/>
    </x:row>
    <x:row r="1866">
      <x:c r="A1866" s="34"/>
      <x:c r="F1866" s="34"/>
      <x:c r="G1866" s="36"/>
      <x:c r="J1866" s="38"/>
    </x:row>
    <x:row r="1867">
      <x:c r="A1867" s="34"/>
      <x:c r="F1867" s="34"/>
      <x:c r="G1867" s="36"/>
      <x:c r="J1867" s="38"/>
    </x:row>
    <x:row r="1868">
      <x:c r="A1868" s="34"/>
      <x:c r="F1868" s="34"/>
      <x:c r="G1868" s="36"/>
      <x:c r="J1868" s="38"/>
    </x:row>
    <x:row r="1869">
      <x:c r="A1869" s="34"/>
      <x:c r="F1869" s="34"/>
      <x:c r="G1869" s="36"/>
      <x:c r="J1869" s="38"/>
    </x:row>
    <x:row r="1870">
      <x:c r="A1870" s="34"/>
      <x:c r="F1870" s="34"/>
      <x:c r="G1870" s="36"/>
      <x:c r="J1870" s="38"/>
    </x:row>
    <x:row r="1871">
      <x:c r="A1871" s="34"/>
      <x:c r="F1871" s="34"/>
      <x:c r="G1871" s="36"/>
      <x:c r="J1871" s="38"/>
    </x:row>
    <x:row r="1872">
      <x:c r="A1872" s="34"/>
      <x:c r="F1872" s="34"/>
      <x:c r="G1872" s="36"/>
      <x:c r="J1872" s="38"/>
    </x:row>
    <x:row r="1873">
      <x:c r="A1873" s="34"/>
      <x:c r="F1873" s="34"/>
      <x:c r="G1873" s="36"/>
      <x:c r="J1873" s="38"/>
    </x:row>
    <x:row r="1874">
      <x:c r="A1874" s="34"/>
      <x:c r="F1874" s="34"/>
      <x:c r="G1874" s="36"/>
      <x:c r="J1874" s="38"/>
    </x:row>
    <x:row r="1875">
      <x:c r="A1875" s="34"/>
      <x:c r="F1875" s="34"/>
      <x:c r="G1875" s="36"/>
      <x:c r="J1875" s="38"/>
    </x:row>
    <x:row r="1876">
      <x:c r="A1876" s="34"/>
      <x:c r="F1876" s="34"/>
      <x:c r="G1876" s="36"/>
      <x:c r="J1876" s="38"/>
    </x:row>
    <x:row r="1877">
      <x:c r="A1877" s="34"/>
      <x:c r="F1877" s="34"/>
      <x:c r="G1877" s="36"/>
      <x:c r="J1877" s="38"/>
    </x:row>
    <x:row r="1878">
      <x:c r="A1878" s="34"/>
      <x:c r="F1878" s="34"/>
      <x:c r="G1878" s="36"/>
      <x:c r="J1878" s="38"/>
    </x:row>
    <x:row r="1879">
      <x:c r="A1879" s="34"/>
      <x:c r="F1879" s="34"/>
      <x:c r="G1879" s="36"/>
      <x:c r="J1879" s="38"/>
    </x:row>
    <x:row r="1880">
      <x:c r="A1880" s="34"/>
      <x:c r="F1880" s="34"/>
      <x:c r="G1880" s="36"/>
      <x:c r="J1880" s="38"/>
    </x:row>
    <x:row r="1881">
      <x:c r="A1881" s="34"/>
      <x:c r="F1881" s="34"/>
      <x:c r="G1881" s="36"/>
      <x:c r="J1881" s="38"/>
    </x:row>
    <x:row r="1882">
      <x:c r="A1882" s="34"/>
      <x:c r="F1882" s="34"/>
      <x:c r="G1882" s="36"/>
      <x:c r="J1882" s="38"/>
    </x:row>
    <x:row r="1883">
      <x:c r="A1883" s="34"/>
      <x:c r="F1883" s="34"/>
      <x:c r="G1883" s="36"/>
      <x:c r="J1883" s="38"/>
    </x:row>
    <x:row r="1884">
      <x:c r="A1884" s="34"/>
      <x:c r="F1884" s="34"/>
      <x:c r="G1884" s="36"/>
      <x:c r="J1884" s="38"/>
    </x:row>
    <x:row r="1885">
      <x:c r="A1885" s="34"/>
      <x:c r="F1885" s="34"/>
      <x:c r="G1885" s="36"/>
      <x:c r="J1885" s="38"/>
    </x:row>
    <x:row r="1886">
      <x:c r="A1886" s="34"/>
      <x:c r="F1886" s="34"/>
      <x:c r="G1886" s="36"/>
      <x:c r="J1886" s="38"/>
    </x:row>
    <x:row r="1887">
      <x:c r="A1887" s="34"/>
      <x:c r="F1887" s="34"/>
      <x:c r="G1887" s="36"/>
      <x:c r="J1887" s="38"/>
    </x:row>
    <x:row r="1888">
      <x:c r="A1888" s="34"/>
      <x:c r="F1888" s="34"/>
      <x:c r="G1888" s="36"/>
      <x:c r="J1888" s="38"/>
    </x:row>
    <x:row r="1889">
      <x:c r="A1889" s="34"/>
      <x:c r="F1889" s="34"/>
      <x:c r="G1889" s="36"/>
      <x:c r="J1889" s="38"/>
    </x:row>
    <x:row r="1890">
      <x:c r="A1890" s="34"/>
      <x:c r="F1890" s="34"/>
      <x:c r="G1890" s="36"/>
      <x:c r="J1890" s="38"/>
    </x:row>
    <x:row r="1891">
      <x:c r="A1891" s="34"/>
      <x:c r="F1891" s="34"/>
      <x:c r="G1891" s="36"/>
      <x:c r="J1891" s="38"/>
    </x:row>
    <x:row r="1892">
      <x:c r="A1892" s="34"/>
      <x:c r="F1892" s="34"/>
      <x:c r="G1892" s="36"/>
      <x:c r="J1892" s="38"/>
    </x:row>
    <x:row r="1893">
      <x:c r="A1893" s="34"/>
      <x:c r="F1893" s="34"/>
      <x:c r="G1893" s="36"/>
      <x:c r="J1893" s="38"/>
    </x:row>
    <x:row r="1894">
      <x:c r="A1894" s="34"/>
      <x:c r="F1894" s="34"/>
      <x:c r="G1894" s="36"/>
      <x:c r="J1894" s="38"/>
    </x:row>
    <x:row r="1895">
      <x:c r="A1895" s="34"/>
      <x:c r="F1895" s="34"/>
      <x:c r="G1895" s="36"/>
      <x:c r="J1895" s="38"/>
    </x:row>
    <x:row r="1896">
      <x:c r="A1896" s="34"/>
      <x:c r="F1896" s="34"/>
      <x:c r="G1896" s="36"/>
      <x:c r="J1896" s="38"/>
    </x:row>
    <x:row r="1897">
      <x:c r="A1897" s="34"/>
      <x:c r="F1897" s="34"/>
      <x:c r="G1897" s="36"/>
      <x:c r="J1897" s="38"/>
    </x:row>
    <x:row r="1898">
      <x:c r="A1898" s="34"/>
      <x:c r="F1898" s="34"/>
      <x:c r="G1898" s="36"/>
      <x:c r="J1898" s="38"/>
    </x:row>
    <x:row r="1899">
      <x:c r="A1899" s="34"/>
      <x:c r="F1899" s="34"/>
      <x:c r="G1899" s="36"/>
      <x:c r="J1899" s="38"/>
    </x:row>
    <x:row r="1900">
      <x:c r="A1900" s="34"/>
      <x:c r="F1900" s="34"/>
      <x:c r="G1900" s="36"/>
      <x:c r="J1900" s="38"/>
    </x:row>
    <x:row r="1901">
      <x:c r="A1901" s="34"/>
      <x:c r="F1901" s="34"/>
      <x:c r="G1901" s="36"/>
      <x:c r="J1901" s="38"/>
    </x:row>
    <x:row r="1902">
      <x:c r="A1902" s="34"/>
      <x:c r="F1902" s="34"/>
      <x:c r="G1902" s="36"/>
      <x:c r="J1902" s="38"/>
    </x:row>
    <x:row r="1903">
      <x:c r="A1903" s="34"/>
      <x:c r="F1903" s="34"/>
      <x:c r="G1903" s="36"/>
      <x:c r="J1903" s="38"/>
    </x:row>
    <x:row r="1904">
      <x:c r="A1904" s="34"/>
      <x:c r="F1904" s="34"/>
      <x:c r="G1904" s="36"/>
      <x:c r="J1904" s="38"/>
    </x:row>
    <x:row r="1905">
      <x:c r="A1905" s="34"/>
      <x:c r="F1905" s="34"/>
      <x:c r="G1905" s="36"/>
      <x:c r="J1905" s="38"/>
    </x:row>
    <x:row r="1906">
      <x:c r="A1906" s="34"/>
      <x:c r="F1906" s="34"/>
      <x:c r="G1906" s="36"/>
      <x:c r="J1906" s="38"/>
    </x:row>
    <x:row r="1907">
      <x:c r="A1907" s="34"/>
      <x:c r="F1907" s="34"/>
      <x:c r="G1907" s="36"/>
      <x:c r="J1907" s="38"/>
    </x:row>
    <x:row r="1908">
      <x:c r="A1908" s="34"/>
      <x:c r="F1908" s="34"/>
      <x:c r="G1908" s="36"/>
      <x:c r="J1908" s="38"/>
    </x:row>
    <x:row r="1909">
      <x:c r="A1909" s="34"/>
      <x:c r="F1909" s="34"/>
      <x:c r="G1909" s="36"/>
      <x:c r="J1909" s="38"/>
    </x:row>
    <x:row r="1910">
      <x:c r="A1910" s="34"/>
      <x:c r="F1910" s="34"/>
      <x:c r="G1910" s="36"/>
      <x:c r="J1910" s="38"/>
    </x:row>
    <x:row r="1911">
      <x:c r="A1911" s="34"/>
      <x:c r="F1911" s="34"/>
      <x:c r="G1911" s="36"/>
      <x:c r="J1911" s="38"/>
    </x:row>
    <x:row r="1912">
      <x:c r="A1912" s="34"/>
      <x:c r="F1912" s="34"/>
      <x:c r="G1912" s="36"/>
      <x:c r="J1912" s="38"/>
    </x:row>
    <x:row r="1913">
      <x:c r="A1913" s="34"/>
      <x:c r="F1913" s="34"/>
      <x:c r="G1913" s="36"/>
      <x:c r="J1913" s="38"/>
    </x:row>
    <x:row r="1914">
      <x:c r="A1914" s="34"/>
      <x:c r="F1914" s="34"/>
      <x:c r="G1914" s="36"/>
      <x:c r="J1914" s="38"/>
    </x:row>
    <x:row r="1915">
      <x:c r="A1915" s="34"/>
      <x:c r="F1915" s="34"/>
      <x:c r="G1915" s="36"/>
      <x:c r="J1915" s="38"/>
    </x:row>
    <x:row r="1916">
      <x:c r="A1916" s="34"/>
      <x:c r="F1916" s="34"/>
      <x:c r="G1916" s="36"/>
      <x:c r="J1916" s="38"/>
    </x:row>
    <x:row r="1917">
      <x:c r="A1917" s="34"/>
      <x:c r="F1917" s="34"/>
      <x:c r="G1917" s="36"/>
      <x:c r="J1917" s="38"/>
    </x:row>
    <x:row r="1918">
      <x:c r="A1918" s="34"/>
      <x:c r="F1918" s="34"/>
      <x:c r="G1918" s="36"/>
      <x:c r="J1918" s="38"/>
    </x:row>
    <x:row r="1919">
      <x:c r="A1919" s="34"/>
      <x:c r="F1919" s="34"/>
      <x:c r="G1919" s="36"/>
      <x:c r="J1919" s="38"/>
    </x:row>
    <x:row r="1920">
      <x:c r="A1920" s="34"/>
      <x:c r="F1920" s="34"/>
      <x:c r="G1920" s="36"/>
      <x:c r="J1920" s="38"/>
    </x:row>
    <x:row r="1921">
      <x:c r="A1921" s="34"/>
      <x:c r="F1921" s="34"/>
      <x:c r="G1921" s="36"/>
      <x:c r="J1921" s="38"/>
    </x:row>
    <x:row r="1922">
      <x:c r="A1922" s="34"/>
      <x:c r="F1922" s="34"/>
      <x:c r="G1922" s="36"/>
      <x:c r="J1922" s="38"/>
    </x:row>
    <x:row r="1923">
      <x:c r="A1923" s="34"/>
      <x:c r="F1923" s="34"/>
      <x:c r="G1923" s="36"/>
      <x:c r="J1923" s="38"/>
    </x:row>
    <x:row r="1924">
      <x:c r="A1924" s="34"/>
      <x:c r="F1924" s="34"/>
      <x:c r="G1924" s="36"/>
      <x:c r="J1924" s="38"/>
    </x:row>
    <x:row r="1925">
      <x:c r="A1925" s="34"/>
      <x:c r="F1925" s="34"/>
      <x:c r="G1925" s="36"/>
      <x:c r="J1925" s="38"/>
    </x:row>
    <x:row r="1926">
      <x:c r="A1926" s="34"/>
      <x:c r="F1926" s="34"/>
      <x:c r="G1926" s="36"/>
      <x:c r="J1926" s="38"/>
    </x:row>
    <x:row r="1927">
      <x:c r="A1927" s="34"/>
      <x:c r="F1927" s="34"/>
      <x:c r="G1927" s="36"/>
      <x:c r="J1927" s="38"/>
    </x:row>
    <x:row r="1928">
      <x:c r="A1928" s="34"/>
      <x:c r="F1928" s="34"/>
      <x:c r="G1928" s="36"/>
      <x:c r="J1928" s="38"/>
    </x:row>
    <x:row r="1929">
      <x:c r="A1929" s="34"/>
      <x:c r="F1929" s="34"/>
      <x:c r="G1929" s="36"/>
      <x:c r="J1929" s="38"/>
    </x:row>
    <x:row r="1930">
      <x:c r="A1930" s="34"/>
      <x:c r="F1930" s="34"/>
      <x:c r="G1930" s="36"/>
      <x:c r="J1930" s="38"/>
    </x:row>
    <x:row r="1931">
      <x:c r="A1931" s="34"/>
      <x:c r="F1931" s="34"/>
      <x:c r="G1931" s="36"/>
      <x:c r="J1931" s="38"/>
    </x:row>
    <x:row r="1932">
      <x:c r="A1932" s="34"/>
      <x:c r="F1932" s="34"/>
      <x:c r="G1932" s="36"/>
      <x:c r="J1932" s="38"/>
    </x:row>
    <x:row r="1933">
      <x:c r="A1933" s="34"/>
      <x:c r="F1933" s="34"/>
      <x:c r="G1933" s="36"/>
      <x:c r="J1933" s="38"/>
    </x:row>
    <x:row r="1934">
      <x:c r="A1934" s="34"/>
      <x:c r="F1934" s="34"/>
      <x:c r="G1934" s="36"/>
      <x:c r="J1934" s="38"/>
    </x:row>
    <x:row r="1935">
      <x:c r="A1935" s="34"/>
      <x:c r="F1935" s="34"/>
      <x:c r="G1935" s="36"/>
      <x:c r="J1935" s="38"/>
    </x:row>
    <x:row r="1936">
      <x:c r="A1936" s="34"/>
      <x:c r="F1936" s="34"/>
      <x:c r="G1936" s="36"/>
      <x:c r="J1936" s="38"/>
    </x:row>
    <x:row r="1937">
      <x:c r="A1937" s="34"/>
      <x:c r="F1937" s="34"/>
      <x:c r="G1937" s="36"/>
      <x:c r="J1937" s="38"/>
    </x:row>
    <x:row r="1938">
      <x:c r="A1938" s="34"/>
      <x:c r="F1938" s="34"/>
      <x:c r="G1938" s="36"/>
      <x:c r="J1938" s="38"/>
    </x:row>
    <x:row r="1939">
      <x:c r="A1939" s="34"/>
      <x:c r="F1939" s="34"/>
      <x:c r="G1939" s="36"/>
      <x:c r="J1939" s="38"/>
    </x:row>
    <x:row r="1940">
      <x:c r="A1940" s="34"/>
      <x:c r="F1940" s="34"/>
      <x:c r="G1940" s="36"/>
      <x:c r="J1940" s="38"/>
    </x:row>
    <x:row r="1941">
      <x:c r="A1941" s="34"/>
      <x:c r="F1941" s="34"/>
      <x:c r="G1941" s="36"/>
      <x:c r="J1941" s="38"/>
    </x:row>
    <x:row r="1942">
      <x:c r="A1942" s="34"/>
      <x:c r="F1942" s="34"/>
      <x:c r="G1942" s="36"/>
      <x:c r="J1942" s="38"/>
    </x:row>
    <x:row r="1943">
      <x:c r="A1943" s="34"/>
      <x:c r="F1943" s="34"/>
      <x:c r="G1943" s="36"/>
      <x:c r="J1943" s="38"/>
    </x:row>
    <x:row r="1944">
      <x:c r="A1944" s="34"/>
      <x:c r="F1944" s="34"/>
      <x:c r="G1944" s="36"/>
      <x:c r="J1944" s="38"/>
    </x:row>
    <x:row r="1945">
      <x:c r="A1945" s="34"/>
      <x:c r="F1945" s="34"/>
      <x:c r="G1945" s="36"/>
      <x:c r="J1945" s="38"/>
    </x:row>
    <x:row r="1946">
      <x:c r="A1946" s="34"/>
      <x:c r="F1946" s="34"/>
      <x:c r="G1946" s="36"/>
      <x:c r="J1946" s="38"/>
    </x:row>
    <x:row r="1947">
      <x:c r="A1947" s="34"/>
      <x:c r="F1947" s="34"/>
      <x:c r="G1947" s="36"/>
      <x:c r="J1947" s="38"/>
    </x:row>
    <x:row r="1948">
      <x:c r="A1948" s="34"/>
      <x:c r="F1948" s="34"/>
      <x:c r="G1948" s="36"/>
      <x:c r="J1948" s="38"/>
    </x:row>
    <x:row r="1949">
      <x:c r="A1949" s="34"/>
      <x:c r="F1949" s="34"/>
      <x:c r="G1949" s="36"/>
      <x:c r="J1949" s="38"/>
    </x:row>
    <x:row r="1950">
      <x:c r="A1950" s="34"/>
      <x:c r="F1950" s="34"/>
      <x:c r="G1950" s="36"/>
      <x:c r="J1950" s="38"/>
    </x:row>
    <x:row r="1951">
      <x:c r="A1951" s="34"/>
      <x:c r="F1951" s="34"/>
      <x:c r="G1951" s="36"/>
      <x:c r="J1951" s="38"/>
    </x:row>
    <x:row r="1952">
      <x:c r="A1952" s="34"/>
      <x:c r="F1952" s="34"/>
      <x:c r="G1952" s="36"/>
      <x:c r="J1952" s="38"/>
    </x:row>
    <x:row r="1953">
      <x:c r="A1953" s="34"/>
      <x:c r="F1953" s="34"/>
      <x:c r="G1953" s="36"/>
      <x:c r="J1953" s="38"/>
    </x:row>
    <x:row r="1954">
      <x:c r="A1954" s="34"/>
      <x:c r="F1954" s="34"/>
      <x:c r="G1954" s="36"/>
      <x:c r="J1954" s="38"/>
    </x:row>
    <x:row r="1955">
      <x:c r="A1955" s="34"/>
      <x:c r="F1955" s="34"/>
      <x:c r="G1955" s="36"/>
      <x:c r="J1955" s="38"/>
    </x:row>
    <x:row r="1956">
      <x:c r="A1956" s="34"/>
      <x:c r="F1956" s="34"/>
      <x:c r="G1956" s="36"/>
      <x:c r="J1956" s="38"/>
    </x:row>
    <x:row r="1957">
      <x:c r="A1957" s="34"/>
      <x:c r="F1957" s="34"/>
      <x:c r="G1957" s="36"/>
      <x:c r="J1957" s="38"/>
    </x:row>
    <x:row r="1958">
      <x:c r="A1958" s="34"/>
      <x:c r="F1958" s="34"/>
      <x:c r="G1958" s="36"/>
      <x:c r="J1958" s="38"/>
    </x:row>
    <x:row r="1959">
      <x:c r="A1959" s="34"/>
      <x:c r="F1959" s="34"/>
      <x:c r="G1959" s="36"/>
      <x:c r="J1959" s="38"/>
    </x:row>
    <x:row r="1960">
      <x:c r="A1960" s="34"/>
      <x:c r="F1960" s="34"/>
      <x:c r="G1960" s="36"/>
      <x:c r="J1960" s="38"/>
    </x:row>
    <x:row r="1961">
      <x:c r="A1961" s="34"/>
      <x:c r="F1961" s="34"/>
      <x:c r="G1961" s="36"/>
      <x:c r="J1961" s="38"/>
    </x:row>
    <x:row r="1962">
      <x:c r="A1962" s="34"/>
      <x:c r="F1962" s="34"/>
      <x:c r="G1962" s="36"/>
      <x:c r="J1962" s="38"/>
    </x:row>
    <x:row r="1963">
      <x:c r="A1963" s="34"/>
      <x:c r="F1963" s="34"/>
      <x:c r="G1963" s="36"/>
      <x:c r="J1963" s="38"/>
    </x:row>
    <x:row r="1964">
      <x:c r="A1964" s="34"/>
      <x:c r="F1964" s="34"/>
      <x:c r="G1964" s="36"/>
      <x:c r="J1964" s="38"/>
    </x:row>
    <x:row r="1965">
      <x:c r="A1965" s="34"/>
      <x:c r="F1965" s="34"/>
      <x:c r="G1965" s="36"/>
      <x:c r="J1965" s="38"/>
    </x:row>
    <x:row r="1966">
      <x:c r="A1966" s="34"/>
      <x:c r="F1966" s="34"/>
      <x:c r="G1966" s="36"/>
      <x:c r="J1966" s="38"/>
    </x:row>
    <x:row r="1967">
      <x:c r="A1967" s="34"/>
      <x:c r="F1967" s="34"/>
      <x:c r="G1967" s="36"/>
      <x:c r="J1967" s="38"/>
    </x:row>
    <x:row r="1968">
      <x:c r="A1968" s="34"/>
      <x:c r="F1968" s="34"/>
      <x:c r="G1968" s="36"/>
      <x:c r="J1968" s="38"/>
    </x:row>
    <x:row r="1969">
      <x:c r="A1969" s="34"/>
      <x:c r="F1969" s="34"/>
      <x:c r="G1969" s="36"/>
      <x:c r="J1969" s="38"/>
    </x:row>
    <x:row r="1970">
      <x:c r="A1970" s="34"/>
      <x:c r="F1970" s="34"/>
      <x:c r="G1970" s="36"/>
      <x:c r="J1970" s="38"/>
    </x:row>
    <x:row r="1971">
      <x:c r="A1971" s="34"/>
      <x:c r="F1971" s="34"/>
      <x:c r="G1971" s="36"/>
      <x:c r="J1971" s="38"/>
    </x:row>
    <x:row r="1972">
      <x:c r="A1972" s="34"/>
      <x:c r="F1972" s="34"/>
      <x:c r="G1972" s="36"/>
      <x:c r="J1972" s="38"/>
    </x:row>
    <x:row r="1973">
      <x:c r="A1973" s="34"/>
      <x:c r="F1973" s="34"/>
      <x:c r="G1973" s="36"/>
      <x:c r="J1973" s="38"/>
    </x:row>
    <x:row r="1974">
      <x:c r="A1974" s="34"/>
      <x:c r="F1974" s="34"/>
      <x:c r="G1974" s="36"/>
      <x:c r="J1974" s="38"/>
    </x:row>
    <x:row r="1975">
      <x:c r="A1975" s="34"/>
      <x:c r="F1975" s="34"/>
      <x:c r="G1975" s="36"/>
      <x:c r="J1975" s="38"/>
    </x:row>
    <x:row r="1976">
      <x:c r="A1976" s="34"/>
      <x:c r="F1976" s="34"/>
      <x:c r="G1976" s="36"/>
      <x:c r="J1976" s="38"/>
    </x:row>
    <x:row r="1977">
      <x:c r="A1977" s="34"/>
      <x:c r="F1977" s="34"/>
      <x:c r="G1977" s="36"/>
      <x:c r="J1977" s="38"/>
    </x:row>
    <x:row r="1978">
      <x:c r="A1978" s="34"/>
      <x:c r="F1978" s="34"/>
      <x:c r="G1978" s="36"/>
      <x:c r="J1978" s="38"/>
    </x:row>
    <x:row r="1979">
      <x:c r="A1979" s="34"/>
      <x:c r="F1979" s="34"/>
      <x:c r="G1979" s="36"/>
      <x:c r="J1979" s="38"/>
    </x:row>
    <x:row r="1980">
      <x:c r="A1980" s="34"/>
      <x:c r="F1980" s="34"/>
      <x:c r="G1980" s="36"/>
      <x:c r="J1980" s="38"/>
    </x:row>
    <x:row r="1981">
      <x:c r="A1981" s="34"/>
      <x:c r="F1981" s="34"/>
      <x:c r="G1981" s="36"/>
      <x:c r="J1981" s="38"/>
    </x:row>
    <x:row r="1982">
      <x:c r="A1982" s="34"/>
      <x:c r="F1982" s="34"/>
      <x:c r="G1982" s="36"/>
      <x:c r="J1982" s="38"/>
    </x:row>
    <x:row r="1983">
      <x:c r="A1983" s="34"/>
      <x:c r="F1983" s="34"/>
      <x:c r="G1983" s="36"/>
      <x:c r="J1983" s="38"/>
    </x:row>
    <x:row r="1984">
      <x:c r="A1984" s="34"/>
      <x:c r="F1984" s="34"/>
      <x:c r="G1984" s="36"/>
      <x:c r="J1984" s="38"/>
    </x:row>
    <x:row r="1985">
      <x:c r="A1985" s="34"/>
      <x:c r="F1985" s="34"/>
      <x:c r="G1985" s="36"/>
      <x:c r="J1985" s="38"/>
    </x:row>
    <x:row r="1986">
      <x:c r="A1986" s="34"/>
      <x:c r="F1986" s="34"/>
      <x:c r="G1986" s="36"/>
      <x:c r="J1986" s="38"/>
    </x:row>
    <x:row r="1987">
      <x:c r="A1987" s="34"/>
      <x:c r="F1987" s="34"/>
      <x:c r="G1987" s="36"/>
      <x:c r="J1987" s="38"/>
    </x:row>
    <x:row r="1988">
      <x:c r="A1988" s="34"/>
      <x:c r="F1988" s="34"/>
      <x:c r="G1988" s="36"/>
      <x:c r="J1988" s="38"/>
    </x:row>
    <x:row r="1989">
      <x:c r="A1989" s="34"/>
      <x:c r="F1989" s="34"/>
      <x:c r="G1989" s="36"/>
      <x:c r="J1989" s="38"/>
    </x:row>
    <x:row r="1990">
      <x:c r="A1990" s="34"/>
      <x:c r="F1990" s="34"/>
      <x:c r="G1990" s="36"/>
      <x:c r="J1990" s="38"/>
    </x:row>
    <x:row r="1991">
      <x:c r="A1991" s="34"/>
      <x:c r="F1991" s="34"/>
      <x:c r="G1991" s="36"/>
      <x:c r="J1991" s="38"/>
    </x:row>
    <x:row r="1992">
      <x:c r="A1992" s="34"/>
      <x:c r="F1992" s="34"/>
      <x:c r="G1992" s="36"/>
      <x:c r="J1992" s="38"/>
    </x:row>
    <x:row r="1993">
      <x:c r="A1993" s="34"/>
      <x:c r="F1993" s="34"/>
      <x:c r="G1993" s="36"/>
      <x:c r="J1993" s="38"/>
    </x:row>
    <x:row r="1994">
      <x:c r="A1994" s="34"/>
      <x:c r="F1994" s="34"/>
      <x:c r="G1994" s="36"/>
      <x:c r="J1994" s="38"/>
    </x:row>
    <x:row r="1995">
      <x:c r="A1995" s="34"/>
      <x:c r="F1995" s="34"/>
      <x:c r="G1995" s="36"/>
      <x:c r="J1995" s="38"/>
    </x:row>
    <x:row r="1996">
      <x:c r="A1996" s="34"/>
      <x:c r="F1996" s="34"/>
      <x:c r="G1996" s="36"/>
      <x:c r="J1996" s="38"/>
    </x:row>
    <x:row r="1997">
      <x:c r="A1997" s="34"/>
      <x:c r="F1997" s="34"/>
      <x:c r="G1997" s="36"/>
      <x:c r="J1997" s="38"/>
    </x:row>
    <x:row r="1998">
      <x:c r="A1998" s="34"/>
      <x:c r="F1998" s="34"/>
      <x:c r="G1998" s="36"/>
      <x:c r="J1998" s="38"/>
    </x:row>
    <x:row r="1999">
      <x:c r="A1999" s="34"/>
      <x:c r="F1999" s="34"/>
      <x:c r="G1999" s="36"/>
      <x:c r="J1999" s="38"/>
    </x:row>
    <x:row r="2000">
      <x:c r="A2000" s="34"/>
      <x:c r="F2000" s="34"/>
      <x:c r="G2000" s="36"/>
      <x:c r="J2000" s="38"/>
    </x:row>
  </x:sheetData>
  <x:mergeCells>
    <x:mergeCell ref="M1:Q1"/>
  </x:mergeCells>
  <x:conditionalFormatting sqref="E2:E957">
    <x:cfRule type="expression" dxfId="0" priority="1">
      <x:formula>E2="Concluído"</x:formula>
    </x:cfRule>
    <x:cfRule type="expression" dxfId="1" priority="2">
      <x:formula>E2="Em andamento"</x:formula>
    </x:cfRule>
    <x:cfRule type="expression" dxfId="2" priority="3">
      <x:formula>E2="Não iniciado"</x:formula>
    </x:cfRule>
  </x:conditionalFormatting>
  <x:conditionalFormatting sqref="I2:I957">
    <x:cfRule type="expression" dxfId="3" priority="4">
      <x:formula>I2="Atrasado"</x:formula>
    </x:cfRule>
    <x:cfRule type="expression" dxfId="4" priority="5">
      <x:formula>I2="Hoje"</x:formula>
    </x:cfRule>
    <x:cfRule type="expression" dxfId="5" priority="6">
      <x:formula>I2="Concluído"</x:formula>
    </x:cfRule>
  </x:conditionalFormatting>
  <x:conditionalFormatting sqref="P12:P16">
    <x:cfRule type="dataBar" priority="7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{0432B431-F092-380E-3E89-C1B63A94276D}</x14:id>
        </x:ext>
      </x:extLst>
    </x:cfRule>
  </x:conditionalFormatting>
  <x:dataValidations count="2">
    <x:dataValidation type="list" sqref="E2:E957">
      <x:formula1>"Não iniciado,Em andamento,Concluído"</x:formula1>
    </x:dataValidation>
    <x:dataValidation type="list" sqref="H2:H957">
      <x:formula1>"Baixa,Normal,Alta,Crítica"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b1a2130d4946b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0432B431-F092-380E-3E89-C1B63A94276D}">
            <x14:dataBar gradient="1">
              <x14:cfvo type="min"/>
              <x14:cfvo type="max"/>
              <x14:fillColor rgb="FF5B9BD5"/>
            </x14:dataBar>
          </x14:cfRule>
          <xm:sqref>P12:P16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Data</x:t>
        </x:is>
      </x:c>
      <x:c r="B1" t="inlineStr">
        <x:is>
          <x:t xml:space="preserve">Disciplina</x:t>
        </x:is>
      </x:c>
      <x:c r="C1" t="inlineStr">
        <x:is>
          <x:t xml:space="preserve">Assunto</x:t>
        </x:is>
      </x:c>
      <x:c r="D1" t="inlineStr">
        <x:is>
          <x:t xml:space="preserve">Horas</x:t>
        </x:is>
      </x:c>
      <x:c r="E1" t="inlineStr">
        <x:is>
          <x:t xml:space="preserve">Questões</x:t>
        </x:is>
      </x:c>
      <x:c r="F1" t="inlineStr">
        <x:is>
          <x:t xml:space="preserve">Acertos</x:t>
        </x:is>
      </x:c>
      <x:c r="G1" t="inlineStr">
        <x:is>
          <x:t xml:space="preserve">Erros</x:t>
        </x:is>
      </x:c>
      <x:c r="H1" t="inlineStr">
        <x:is>
          <x:t xml:space="preserve">% Acerto</x:t>
        </x:is>
      </x:c>
      <x:c r="I1" t="inlineStr">
        <x:is>
          <x:t xml:space="preserve">Dificuldade</x:t>
        </x:is>
      </x:c>
      <x:c r="J1" t="inlineStr">
        <x:is>
          <x:t xml:space="preserve">Observações</x:t>
        </x:is>
      </x:c>
    </x:row>
    <x:row r="2">
      <x:c r="H2" t="str">
        <x:f>IF(E2=0,"",F2/E2)</x:f>
      </x:c>
    </x:row>
    <x:row r="3">
      <x:c r="H3" t="str">
        <x:f>IF(E3=0,"",F3/E3)</x:f>
      </x:c>
    </x:row>
    <x:row r="4">
      <x:c r="H4" t="str">
        <x:f>IF(E4=0,"",F4/E4)</x:f>
      </x:c>
    </x:row>
    <x:row r="5">
      <x:c r="H5" t="str">
        <x:f>IF(E5=0,"",F5/E5)</x:f>
      </x:c>
    </x:row>
    <x:row r="6">
      <x:c r="H6" t="str">
        <x:f>IF(E6=0,"",F6/E6)</x:f>
      </x:c>
    </x:row>
    <x:row r="7">
      <x:c r="H7" t="str">
        <x:f>IF(E7=0,"",F7/E7)</x:f>
      </x:c>
    </x:row>
    <x:row r="8">
      <x:c r="H8" t="str">
        <x:f>IF(E8=0,"",F8/E8)</x:f>
      </x:c>
    </x:row>
    <x:row r="9">
      <x:c r="H9" t="str">
        <x:f>IF(E9=0,"",F9/E9)</x:f>
      </x:c>
    </x:row>
    <x:row r="10">
      <x:c r="H10" t="str">
        <x:f>IF(E10=0,"",F10/E10)</x:f>
      </x:c>
    </x:row>
    <x:row r="11">
      <x:c r="H11" t="str">
        <x:f>IF(E11=0,"",F11/E11)</x:f>
      </x:c>
    </x:row>
    <x:row r="12">
      <x:c r="H12" t="str">
        <x:f>IF(E12=0,"",F12/E12)</x:f>
      </x:c>
    </x:row>
    <x:row r="13">
      <x:c r="H13" t="str">
        <x:f>IF(E13=0,"",F13/E13)</x:f>
      </x:c>
    </x:row>
    <x:row r="14">
      <x:c r="H14" t="str">
        <x:f>IF(E14=0,"",F14/E14)</x:f>
      </x:c>
    </x:row>
    <x:row r="15">
      <x:c r="H15" t="str">
        <x:f>IF(E15=0,"",F15/E15)</x:f>
      </x:c>
    </x:row>
    <x:row r="16">
      <x:c r="H16" t="str">
        <x:f>IF(E16=0,"",F16/E16)</x:f>
      </x:c>
    </x:row>
    <x:row r="17">
      <x:c r="H17" t="str">
        <x:f>IF(E17=0,"",F17/E17)</x:f>
      </x:c>
    </x:row>
    <x:row r="18">
      <x:c r="H18" t="str">
        <x:f>IF(E18=0,"",F18/E18)</x:f>
      </x:c>
    </x:row>
    <x:row r="19">
      <x:c r="H19" t="str">
        <x:f>IF(E19=0,"",F19/E19)</x:f>
      </x:c>
    </x:row>
    <x:row r="20">
      <x:c r="H20" t="str">
        <x:f>IF(E20=0,"",F20/E20)</x:f>
      </x:c>
    </x:row>
    <x:row r="21">
      <x:c r="H21" t="str">
        <x:f>IF(E21=0,"",F21/E21)</x:f>
      </x:c>
    </x:row>
    <x:row r="22">
      <x:c r="H22" t="str">
        <x:f>IF(E22=0,"",F22/E22)</x:f>
      </x:c>
    </x:row>
    <x:row r="23">
      <x:c r="H23" t="str">
        <x:f>IF(E23=0,"",F23/E23)</x:f>
      </x:c>
    </x:row>
    <x:row r="24">
      <x:c r="H24" t="str">
        <x:f>IF(E24=0,"",F24/E24)</x:f>
      </x:c>
    </x:row>
    <x:row r="25">
      <x:c r="H25" t="str">
        <x:f>IF(E25=0,"",F25/E25)</x:f>
      </x:c>
    </x:row>
    <x:row r="26">
      <x:c r="H26" t="str">
        <x:f>IF(E26=0,"",F26/E26)</x:f>
      </x:c>
    </x:row>
    <x:row r="27">
      <x:c r="H27" t="str">
        <x:f>IF(E27=0,"",F27/E27)</x:f>
      </x:c>
    </x:row>
    <x:row r="28">
      <x:c r="H28" t="str">
        <x:f>IF(E28=0,"",F28/E28)</x:f>
      </x:c>
    </x:row>
    <x:row r="29">
      <x:c r="H29" t="str">
        <x:f>IF(E29=0,"",F29/E29)</x:f>
      </x:c>
    </x:row>
    <x:row r="30">
      <x:c r="H30" t="str">
        <x:f>IF(E30=0,"",F30/E30)</x:f>
      </x:c>
    </x:row>
    <x:row r="31">
      <x:c r="H31" t="str">
        <x:f>IF(E31=0,"",F31/E31)</x:f>
      </x:c>
    </x:row>
    <x:row r="32">
      <x:c r="H32" t="str">
        <x:f>IF(E32=0,"",F32/E32)</x:f>
      </x:c>
    </x:row>
    <x:row r="33">
      <x:c r="H33" t="str">
        <x:f>IF(E33=0,"",F33/E33)</x:f>
      </x:c>
    </x:row>
    <x:row r="34">
      <x:c r="H34" t="str">
        <x:f>IF(E34=0,"",F34/E34)</x:f>
      </x:c>
    </x:row>
    <x:row r="35">
      <x:c r="H35" t="str">
        <x:f>IF(E35=0,"",F35/E35)</x:f>
      </x:c>
    </x:row>
    <x:row r="36">
      <x:c r="H36" t="str">
        <x:f>IF(E36=0,"",F36/E36)</x:f>
      </x:c>
    </x:row>
    <x:row r="37">
      <x:c r="H37" t="str">
        <x:f>IF(E37=0,"",F37/E37)</x:f>
      </x:c>
    </x:row>
    <x:row r="38">
      <x:c r="H38" t="str">
        <x:f>IF(E38=0,"",F38/E38)</x:f>
      </x:c>
    </x:row>
    <x:row r="39">
      <x:c r="H39" t="str">
        <x:f>IF(E39=0,"",F39/E39)</x:f>
      </x:c>
    </x:row>
    <x:row r="40">
      <x:c r="H40" t="str">
        <x:f>IF(E40=0,"",F40/E40)</x:f>
      </x:c>
    </x:row>
    <x:row r="41">
      <x:c r="H41" t="str">
        <x:f>IF(E41=0,"",F41/E41)</x:f>
      </x:c>
    </x:row>
    <x:row r="42">
      <x:c r="H42" t="str">
        <x:f>IF(E42=0,"",F42/E42)</x:f>
      </x:c>
    </x:row>
    <x:row r="43">
      <x:c r="H43" t="str">
        <x:f>IF(E43=0,"",F43/E43)</x:f>
      </x:c>
    </x:row>
    <x:row r="44">
      <x:c r="H44" t="str">
        <x:f>IF(E44=0,"",F44/E44)</x:f>
      </x:c>
    </x:row>
    <x:row r="45">
      <x:c r="H45" t="str">
        <x:f>IF(E45=0,"",F45/E45)</x:f>
      </x:c>
    </x:row>
    <x:row r="46">
      <x:c r="H46" t="str">
        <x:f>IF(E46=0,"",F46/E46)</x:f>
      </x:c>
    </x:row>
    <x:row r="47">
      <x:c r="H47" t="str">
        <x:f>IF(E47=0,"",F47/E47)</x:f>
      </x:c>
    </x:row>
    <x:row r="48">
      <x:c r="H48" t="str">
        <x:f>IF(E48=0,"",F48/E48)</x:f>
      </x:c>
    </x:row>
    <x:row r="49">
      <x:c r="H49" t="str">
        <x:f>IF(E49=0,"",F49/E49)</x:f>
      </x:c>
    </x:row>
    <x:row r="50">
      <x:c r="H50" t="str">
        <x:f>IF(E50=0,"",F50/E50)</x:f>
      </x:c>
    </x:row>
    <x:row r="51">
      <x:c r="H51" t="str">
        <x:f>IF(E51=0,"",F51/E51)</x:f>
      </x:c>
    </x:row>
    <x:row r="52">
      <x:c r="H52" t="str">
        <x:f>IF(E52=0,"",F52/E52)</x:f>
      </x:c>
    </x:row>
    <x:row r="53">
      <x:c r="H53" t="str">
        <x:f>IF(E53=0,"",F53/E53)</x:f>
      </x:c>
    </x:row>
    <x:row r="54">
      <x:c r="H54" t="str">
        <x:f>IF(E54=0,"",F54/E54)</x:f>
      </x:c>
    </x:row>
    <x:row r="55">
      <x:c r="H55" t="str">
        <x:f>IF(E55=0,"",F55/E55)</x:f>
      </x:c>
    </x:row>
    <x:row r="56">
      <x:c r="H56" t="str">
        <x:f>IF(E56=0,"",F56/E56)</x:f>
      </x:c>
    </x:row>
    <x:row r="57">
      <x:c r="H57" t="str">
        <x:f>IF(E57=0,"",F57/E57)</x:f>
      </x:c>
    </x:row>
    <x:row r="58">
      <x:c r="H58" t="str">
        <x:f>IF(E58=0,"",F58/E58)</x:f>
      </x:c>
    </x:row>
    <x:row r="59">
      <x:c r="H59" t="str">
        <x:f>IF(E59=0,"",F59/E59)</x:f>
      </x:c>
    </x:row>
    <x:row r="60">
      <x:c r="H60" t="str">
        <x:f>IF(E60=0,"",F60/E60)</x:f>
      </x:c>
    </x:row>
    <x:row r="61">
      <x:c r="H61" t="str">
        <x:f>IF(E61=0,"",F61/E61)</x:f>
      </x:c>
    </x:row>
    <x:row r="62">
      <x:c r="H62" t="str">
        <x:f>IF(E62=0,"",F62/E62)</x:f>
      </x:c>
    </x:row>
    <x:row r="63">
      <x:c r="H63" t="str">
        <x:f>IF(E63=0,"",F63/E63)</x:f>
      </x:c>
    </x:row>
    <x:row r="64">
      <x:c r="H64" t="str">
        <x:f>IF(E64=0,"",F64/E64)</x:f>
      </x:c>
    </x:row>
    <x:row r="65">
      <x:c r="H65" t="str">
        <x:f>IF(E65=0,"",F65/E65)</x:f>
      </x:c>
    </x:row>
    <x:row r="66">
      <x:c r="H66" t="str">
        <x:f>IF(E66=0,"",F66/E66)</x:f>
      </x:c>
    </x:row>
    <x:row r="67">
      <x:c r="H67" t="str">
        <x:f>IF(E67=0,"",F67/E67)</x:f>
      </x:c>
    </x:row>
    <x:row r="68">
      <x:c r="H68" t="str">
        <x:f>IF(E68=0,"",F68/E68)</x:f>
      </x:c>
    </x:row>
    <x:row r="69">
      <x:c r="H69" t="str">
        <x:f>IF(E69=0,"",F69/E69)</x:f>
      </x:c>
    </x:row>
    <x:row r="70">
      <x:c r="H70" t="str">
        <x:f>IF(E70=0,"",F70/E70)</x:f>
      </x:c>
    </x:row>
    <x:row r="71">
      <x:c r="H71" t="str">
        <x:f>IF(E71=0,"",F71/E71)</x:f>
      </x:c>
    </x:row>
    <x:row r="72">
      <x:c r="H72" t="str">
        <x:f>IF(E72=0,"",F72/E72)</x:f>
      </x:c>
    </x:row>
    <x:row r="73">
      <x:c r="H73" t="str">
        <x:f>IF(E73=0,"",F73/E73)</x:f>
      </x:c>
    </x:row>
    <x:row r="74">
      <x:c r="H74" t="str">
        <x:f>IF(E74=0,"",F74/E74)</x:f>
      </x:c>
    </x:row>
    <x:row r="75">
      <x:c r="H75" t="str">
        <x:f>IF(E75=0,"",F75/E75)</x:f>
      </x:c>
    </x:row>
    <x:row r="76">
      <x:c r="H76" t="str">
        <x:f>IF(E76=0,"",F76/E76)</x:f>
      </x:c>
    </x:row>
    <x:row r="77">
      <x:c r="H77" t="str">
        <x:f>IF(E77=0,"",F77/E77)</x:f>
      </x:c>
    </x:row>
    <x:row r="78">
      <x:c r="H78" t="str">
        <x:f>IF(E78=0,"",F78/E78)</x:f>
      </x:c>
    </x:row>
    <x:row r="79">
      <x:c r="H79" t="str">
        <x:f>IF(E79=0,"",F79/E79)</x:f>
      </x:c>
    </x:row>
    <x:row r="80">
      <x:c r="H80" t="str">
        <x:f>IF(E80=0,"",F80/E80)</x:f>
      </x:c>
    </x:row>
    <x:row r="81">
      <x:c r="H81" t="str">
        <x:f>IF(E81=0,"",F81/E81)</x:f>
      </x:c>
    </x:row>
    <x:row r="82">
      <x:c r="H82" t="str">
        <x:f>IF(E82=0,"",F82/E82)</x:f>
      </x:c>
    </x:row>
    <x:row r="83">
      <x:c r="H83" t="str">
        <x:f>IF(E83=0,"",F83/E83)</x:f>
      </x:c>
    </x:row>
    <x:row r="84">
      <x:c r="H84" t="str">
        <x:f>IF(E84=0,"",F84/E84)</x:f>
      </x:c>
    </x:row>
    <x:row r="85">
      <x:c r="H85" t="str">
        <x:f>IF(E85=0,"",F85/E85)</x:f>
      </x:c>
    </x:row>
    <x:row r="86">
      <x:c r="H86" t="str">
        <x:f>IF(E86=0,"",F86/E86)</x:f>
      </x:c>
    </x:row>
    <x:row r="87">
      <x:c r="H87" t="str">
        <x:f>IF(E87=0,"",F87/E87)</x:f>
      </x:c>
    </x:row>
    <x:row r="88">
      <x:c r="H88" t="str">
        <x:f>IF(E88=0,"",F88/E88)</x:f>
      </x:c>
    </x:row>
    <x:row r="89">
      <x:c r="H89" t="str">
        <x:f>IF(E89=0,"",F89/E89)</x:f>
      </x:c>
    </x:row>
    <x:row r="90">
      <x:c r="H90" t="str">
        <x:f>IF(E90=0,"",F90/E90)</x:f>
      </x:c>
    </x:row>
    <x:row r="91">
      <x:c r="H91" t="str">
        <x:f>IF(E91=0,"",F91/E91)</x:f>
      </x:c>
    </x:row>
    <x:row r="92">
      <x:c r="H92" t="str">
        <x:f>IF(E92=0,"",F92/E92)</x:f>
      </x:c>
    </x:row>
    <x:row r="93">
      <x:c r="H93" t="str">
        <x:f>IF(E93=0,"",F93/E93)</x:f>
      </x:c>
    </x:row>
    <x:row r="94">
      <x:c r="H94" t="str">
        <x:f>IF(E94=0,"",F94/E94)</x:f>
      </x:c>
    </x:row>
    <x:row r="95">
      <x:c r="H95" t="str">
        <x:f>IF(E95=0,"",F95/E95)</x:f>
      </x:c>
    </x:row>
    <x:row r="96">
      <x:c r="H96" t="str">
        <x:f>IF(E96=0,"",F96/E96)</x:f>
      </x:c>
    </x:row>
    <x:row r="97">
      <x:c r="H97" t="str">
        <x:f>IF(E97=0,"",F97/E97)</x:f>
      </x:c>
    </x:row>
    <x:row r="98">
      <x:c r="H98" t="str">
        <x:f>IF(E98=0,"",F98/E98)</x:f>
      </x:c>
    </x:row>
    <x:row r="99">
      <x:c r="H99" t="str">
        <x:f>IF(E99=0,"",F99/E99)</x:f>
      </x:c>
    </x:row>
    <x:row r="100">
      <x:c r="H100" t="str">
        <x:f>IF(E100=0,"",F100/E100)</x:f>
      </x:c>
    </x:row>
    <x:row r="101">
      <x:c r="H101" t="str">
        <x:f>IF(E101=0,"",F101/E101)</x:f>
      </x:c>
    </x:row>
    <x:row r="102">
      <x:c r="H102" t="str">
        <x:f>IF(E102=0,"",F102/E102)</x:f>
      </x:c>
    </x:row>
    <x:row r="103">
      <x:c r="H103" t="str">
        <x:f>IF(E103=0,"",F103/E103)</x:f>
      </x:c>
    </x:row>
    <x:row r="104">
      <x:c r="H104" t="str">
        <x:f>IF(E104=0,"",F104/E104)</x:f>
      </x:c>
    </x:row>
    <x:row r="105">
      <x:c r="H105" t="str">
        <x:f>IF(E105=0,"",F105/E105)</x:f>
      </x:c>
    </x:row>
    <x:row r="106">
      <x:c r="H106" t="str">
        <x:f>IF(E106=0,"",F106/E106)</x:f>
      </x:c>
    </x:row>
    <x:row r="107">
      <x:c r="H107" t="str">
        <x:f>IF(E107=0,"",F107/E107)</x:f>
      </x:c>
    </x:row>
    <x:row r="108">
      <x:c r="H108" t="str">
        <x:f>IF(E108=0,"",F108/E108)</x:f>
      </x:c>
    </x:row>
    <x:row r="109">
      <x:c r="H109" t="str">
        <x:f>IF(E109=0,"",F109/E109)</x:f>
      </x:c>
    </x:row>
    <x:row r="110">
      <x:c r="H110" t="str">
        <x:f>IF(E110=0,"",F110/E110)</x:f>
      </x:c>
    </x:row>
    <x:row r="111">
      <x:c r="H111" t="str">
        <x:f>IF(E111=0,"",F111/E111)</x:f>
      </x:c>
    </x:row>
    <x:row r="112">
      <x:c r="H112" t="str">
        <x:f>IF(E112=0,"",F112/E112)</x:f>
      </x:c>
    </x:row>
    <x:row r="113">
      <x:c r="H113" t="str">
        <x:f>IF(E113=0,"",F113/E113)</x:f>
      </x:c>
    </x:row>
    <x:row r="114">
      <x:c r="H114" t="str">
        <x:f>IF(E114=0,"",F114/E114)</x:f>
      </x:c>
    </x:row>
    <x:row r="115">
      <x:c r="H115" t="str">
        <x:f>IF(E115=0,"",F115/E115)</x:f>
      </x:c>
    </x:row>
    <x:row r="116">
      <x:c r="H116" t="str">
        <x:f>IF(E116=0,"",F116/E116)</x:f>
      </x:c>
    </x:row>
    <x:row r="117">
      <x:c r="H117" t="str">
        <x:f>IF(E117=0,"",F117/E117)</x:f>
      </x:c>
    </x:row>
    <x:row r="118">
      <x:c r="H118" t="str">
        <x:f>IF(E118=0,"",F118/E118)</x:f>
      </x:c>
    </x:row>
    <x:row r="119">
      <x:c r="H119" t="str">
        <x:f>IF(E119=0,"",F119/E119)</x:f>
      </x:c>
    </x:row>
    <x:row r="120">
      <x:c r="H120" t="str">
        <x:f>IF(E120=0,"",F120/E120)</x:f>
      </x:c>
    </x:row>
    <x:row r="121">
      <x:c r="H121" t="str">
        <x:f>IF(E121=0,"",F121/E121)</x:f>
      </x:c>
    </x:row>
    <x:row r="122">
      <x:c r="H122" t="str">
        <x:f>IF(E122=0,"",F122/E122)</x:f>
      </x:c>
    </x:row>
    <x:row r="123">
      <x:c r="H123" t="str">
        <x:f>IF(E123=0,"",F123/E123)</x:f>
      </x:c>
    </x:row>
    <x:row r="124">
      <x:c r="H124" t="str">
        <x:f>IF(E124=0,"",F124/E124)</x:f>
      </x:c>
    </x:row>
    <x:row r="125">
      <x:c r="H125" t="str">
        <x:f>IF(E125=0,"",F125/E125)</x:f>
      </x:c>
    </x:row>
    <x:row r="126">
      <x:c r="H126" t="str">
        <x:f>IF(E126=0,"",F126/E126)</x:f>
      </x:c>
    </x:row>
    <x:row r="127">
      <x:c r="H127" t="str">
        <x:f>IF(E127=0,"",F127/E127)</x:f>
      </x:c>
    </x:row>
    <x:row r="128">
      <x:c r="H128" t="str">
        <x:f>IF(E128=0,"",F128/E128)</x:f>
      </x:c>
    </x:row>
    <x:row r="129">
      <x:c r="H129" t="str">
        <x:f>IF(E129=0,"",F129/E129)</x:f>
      </x:c>
    </x:row>
    <x:row r="130">
      <x:c r="H130" t="str">
        <x:f>IF(E130=0,"",F130/E130)</x:f>
      </x:c>
    </x:row>
    <x:row r="131">
      <x:c r="H131" t="str">
        <x:f>IF(E131=0,"",F131/E131)</x:f>
      </x:c>
    </x:row>
    <x:row r="132">
      <x:c r="H132" t="str">
        <x:f>IF(E132=0,"",F132/E132)</x:f>
      </x:c>
    </x:row>
    <x:row r="133">
      <x:c r="H133" t="str">
        <x:f>IF(E133=0,"",F133/E133)</x:f>
      </x:c>
    </x:row>
    <x:row r="134">
      <x:c r="H134" t="str">
        <x:f>IF(E134=0,"",F134/E134)</x:f>
      </x:c>
    </x:row>
    <x:row r="135">
      <x:c r="H135" t="str">
        <x:f>IF(E135=0,"",F135/E135)</x:f>
      </x:c>
    </x:row>
    <x:row r="136">
      <x:c r="H136" t="str">
        <x:f>IF(E136=0,"",F136/E136)</x:f>
      </x:c>
    </x:row>
    <x:row r="137">
      <x:c r="H137" t="str">
        <x:f>IF(E137=0,"",F137/E137)</x:f>
      </x:c>
    </x:row>
    <x:row r="138">
      <x:c r="H138" t="str">
        <x:f>IF(E138=0,"",F138/E138)</x:f>
      </x:c>
    </x:row>
    <x:row r="139">
      <x:c r="H139" t="str">
        <x:f>IF(E139=0,"",F139/E139)</x:f>
      </x:c>
    </x:row>
    <x:row r="140">
      <x:c r="H140" t="str">
        <x:f>IF(E140=0,"",F140/E140)</x:f>
      </x:c>
    </x:row>
    <x:row r="141">
      <x:c r="H141" t="str">
        <x:f>IF(E141=0,"",F141/E141)</x:f>
      </x:c>
    </x:row>
    <x:row r="142">
      <x:c r="H142" t="str">
        <x:f>IF(E142=0,"",F142/E142)</x:f>
      </x:c>
    </x:row>
    <x:row r="143">
      <x:c r="H143" t="str">
        <x:f>IF(E143=0,"",F143/E143)</x:f>
      </x:c>
    </x:row>
    <x:row r="144">
      <x:c r="H144" t="str">
        <x:f>IF(E144=0,"",F144/E144)</x:f>
      </x:c>
    </x:row>
    <x:row r="145">
      <x:c r="H145" t="str">
        <x:f>IF(E145=0,"",F145/E145)</x:f>
      </x:c>
    </x:row>
    <x:row r="146">
      <x:c r="H146" t="str">
        <x:f>IF(E146=0,"",F146/E146)</x:f>
      </x:c>
    </x:row>
    <x:row r="147">
      <x:c r="H147" t="str">
        <x:f>IF(E147=0,"",F147/E147)</x:f>
      </x:c>
    </x:row>
    <x:row r="148">
      <x:c r="H148" t="str">
        <x:f>IF(E148=0,"",F148/E148)</x:f>
      </x:c>
    </x:row>
    <x:row r="149">
      <x:c r="H149" t="str">
        <x:f>IF(E149=0,"",F149/E149)</x:f>
      </x:c>
    </x:row>
    <x:row r="150">
      <x:c r="H150" t="str">
        <x:f>IF(E150=0,"",F150/E150)</x:f>
      </x:c>
    </x:row>
    <x:row r="151">
      <x:c r="H151" t="str">
        <x:f>IF(E151=0,"",F151/E151)</x:f>
      </x:c>
    </x:row>
    <x:row r="152">
      <x:c r="H152" t="str">
        <x:f>IF(E152=0,"",F152/E152)</x:f>
      </x:c>
    </x:row>
    <x:row r="153">
      <x:c r="H153" t="str">
        <x:f>IF(E153=0,"",F153/E153)</x:f>
      </x:c>
    </x:row>
    <x:row r="154">
      <x:c r="H154" t="str">
        <x:f>IF(E154=0,"",F154/E154)</x:f>
      </x:c>
    </x:row>
    <x:row r="155">
      <x:c r="H155" t="str">
        <x:f>IF(E155=0,"",F155/E155)</x:f>
      </x:c>
    </x:row>
    <x:row r="156">
      <x:c r="H156" t="str">
        <x:f>IF(E156=0,"",F156/E156)</x:f>
      </x:c>
    </x:row>
    <x:row r="157">
      <x:c r="H157" t="str">
        <x:f>IF(E157=0,"",F157/E157)</x:f>
      </x:c>
    </x:row>
    <x:row r="158">
      <x:c r="H158" t="str">
        <x:f>IF(E158=0,"",F158/E158)</x:f>
      </x:c>
    </x:row>
    <x:row r="159">
      <x:c r="H159" t="str">
        <x:f>IF(E159=0,"",F159/E159)</x:f>
      </x:c>
    </x:row>
    <x:row r="160">
      <x:c r="H160" t="str">
        <x:f>IF(E160=0,"",F160/E160)</x:f>
      </x:c>
    </x:row>
    <x:row r="161">
      <x:c r="H161" t="str">
        <x:f>IF(E161=0,"",F161/E161)</x:f>
      </x:c>
    </x:row>
    <x:row r="162">
      <x:c r="H162" t="str">
        <x:f>IF(E162=0,"",F162/E162)</x:f>
      </x:c>
    </x:row>
    <x:row r="163">
      <x:c r="H163" t="str">
        <x:f>IF(E163=0,"",F163/E163)</x:f>
      </x:c>
    </x:row>
    <x:row r="164">
      <x:c r="H164" t="str">
        <x:f>IF(E164=0,"",F164/E164)</x:f>
      </x:c>
    </x:row>
    <x:row r="165">
      <x:c r="H165" t="str">
        <x:f>IF(E165=0,"",F165/E165)</x:f>
      </x:c>
    </x:row>
    <x:row r="166">
      <x:c r="H166" t="str">
        <x:f>IF(E166=0,"",F166/E166)</x:f>
      </x:c>
    </x:row>
    <x:row r="167">
      <x:c r="H167" t="str">
        <x:f>IF(E167=0,"",F167/E167)</x:f>
      </x:c>
    </x:row>
    <x:row r="168">
      <x:c r="H168" t="str">
        <x:f>IF(E168=0,"",F168/E168)</x:f>
      </x:c>
    </x:row>
    <x:row r="169">
      <x:c r="H169" t="str">
        <x:f>IF(E169=0,"",F169/E169)</x:f>
      </x:c>
    </x:row>
    <x:row r="170">
      <x:c r="H170" t="str">
        <x:f>IF(E170=0,"",F170/E170)</x:f>
      </x:c>
    </x:row>
    <x:row r="171">
      <x:c r="H171" t="str">
        <x:f>IF(E171=0,"",F171/E171)</x:f>
      </x:c>
    </x:row>
    <x:row r="172">
      <x:c r="H172" t="str">
        <x:f>IF(E172=0,"",F172/E172)</x:f>
      </x:c>
    </x:row>
    <x:row r="173">
      <x:c r="H173" t="str">
        <x:f>IF(E173=0,"",F173/E173)</x:f>
      </x:c>
    </x:row>
    <x:row r="174">
      <x:c r="H174" t="str">
        <x:f>IF(E174=0,"",F174/E174)</x:f>
      </x:c>
    </x:row>
    <x:row r="175">
      <x:c r="H175" t="str">
        <x:f>IF(E175=0,"",F175/E175)</x:f>
      </x:c>
    </x:row>
    <x:row r="176">
      <x:c r="H176" t="str">
        <x:f>IF(E176=0,"",F176/E176)</x:f>
      </x:c>
    </x:row>
    <x:row r="177">
      <x:c r="H177" t="str">
        <x:f>IF(E177=0,"",F177/E177)</x:f>
      </x:c>
    </x:row>
    <x:row r="178">
      <x:c r="H178" t="str">
        <x:f>IF(E178=0,"",F178/E178)</x:f>
      </x:c>
    </x:row>
    <x:row r="179">
      <x:c r="H179" t="str">
        <x:f>IF(E179=0,"",F179/E179)</x:f>
      </x:c>
    </x:row>
    <x:row r="180">
      <x:c r="H180" t="str">
        <x:f>IF(E180=0,"",F180/E180)</x:f>
      </x:c>
    </x:row>
    <x:row r="181">
      <x:c r="H181" t="str">
        <x:f>IF(E181=0,"",F181/E181)</x:f>
      </x:c>
    </x:row>
    <x:row r="182">
      <x:c r="H182" t="str">
        <x:f>IF(E182=0,"",F182/E182)</x:f>
      </x:c>
    </x:row>
    <x:row r="183">
      <x:c r="H183" t="str">
        <x:f>IF(E183=0,"",F183/E183)</x:f>
      </x:c>
    </x:row>
    <x:row r="184">
      <x:c r="H184" t="str">
        <x:f>IF(E184=0,"",F184/E184)</x:f>
      </x:c>
    </x:row>
    <x:row r="185">
      <x:c r="H185" t="str">
        <x:f>IF(E185=0,"",F185/E185)</x:f>
      </x:c>
    </x:row>
    <x:row r="186">
      <x:c r="H186" t="str">
        <x:f>IF(E186=0,"",F186/E186)</x:f>
      </x:c>
    </x:row>
    <x:row r="187">
      <x:c r="H187" t="str">
        <x:f>IF(E187=0,"",F187/E187)</x:f>
      </x:c>
    </x:row>
    <x:row r="188">
      <x:c r="H188" t="str">
        <x:f>IF(E188=0,"",F188/E188)</x:f>
      </x:c>
    </x:row>
    <x:row r="189">
      <x:c r="H189" t="str">
        <x:f>IF(E189=0,"",F189/E189)</x:f>
      </x:c>
    </x:row>
    <x:row r="190">
      <x:c r="H190" t="str">
        <x:f>IF(E190=0,"",F190/E190)</x:f>
      </x:c>
    </x:row>
    <x:row r="191">
      <x:c r="H191" t="str">
        <x:f>IF(E191=0,"",F191/E191)</x:f>
      </x:c>
    </x:row>
    <x:row r="192">
      <x:c r="H192" t="str">
        <x:f>IF(E192=0,"",F192/E192)</x:f>
      </x:c>
    </x:row>
    <x:row r="193">
      <x:c r="H193" t="str">
        <x:f>IF(E193=0,"",F193/E193)</x:f>
      </x:c>
    </x:row>
    <x:row r="194">
      <x:c r="H194" t="str">
        <x:f>IF(E194=0,"",F194/E194)</x:f>
      </x:c>
    </x:row>
    <x:row r="195">
      <x:c r="H195" t="str">
        <x:f>IF(E195=0,"",F195/E195)</x:f>
      </x:c>
    </x:row>
    <x:row r="196">
      <x:c r="H196" t="str">
        <x:f>IF(E196=0,"",F196/E196)</x:f>
      </x:c>
    </x:row>
    <x:row r="197">
      <x:c r="H197" t="str">
        <x:f>IF(E197=0,"",F197/E197)</x:f>
      </x:c>
    </x:row>
    <x:row r="198">
      <x:c r="H198" t="str">
        <x:f>IF(E198=0,"",F198/E198)</x:f>
      </x:c>
    </x:row>
    <x:row r="199">
      <x:c r="H199" t="str">
        <x:f>IF(E199=0,"",F199/E199)</x:f>
      </x:c>
    </x:row>
    <x:row r="200">
      <x:c r="H200" t="str">
        <x:f>IF(E200=0,"",F200/E200)</x:f>
      </x:c>
    </x:row>
    <x:row r="201">
      <x:c r="H201" t="str">
        <x:f>IF(E201=0,"",F201/E201)</x:f>
      </x:c>
    </x:row>
    <x:row r="202">
      <x:c r="H202" t="str">
        <x:f>IF(E202=0,"",F202/E202)</x:f>
      </x:c>
    </x:row>
    <x:row r="203">
      <x:c r="H203" t="str">
        <x:f>IF(E203=0,"",F203/E203)</x:f>
      </x:c>
    </x:row>
    <x:row r="204">
      <x:c r="H204" t="str">
        <x:f>IF(E204=0,"",F204/E204)</x:f>
      </x:c>
    </x:row>
    <x:row r="205">
      <x:c r="H205" t="str">
        <x:f>IF(E205=0,"",F205/E205)</x:f>
      </x:c>
    </x:row>
    <x:row r="206">
      <x:c r="H206" t="str">
        <x:f>IF(E206=0,"",F206/E206)</x:f>
      </x:c>
    </x:row>
    <x:row r="207">
      <x:c r="H207" t="str">
        <x:f>IF(E207=0,"",F207/E207)</x:f>
      </x:c>
    </x:row>
    <x:row r="208">
      <x:c r="H208" t="str">
        <x:f>IF(E208=0,"",F208/E208)</x:f>
      </x:c>
    </x:row>
    <x:row r="209">
      <x:c r="H209" t="str">
        <x:f>IF(E209=0,"",F209/E209)</x:f>
      </x:c>
    </x:row>
    <x:row r="210">
      <x:c r="H210" t="str">
        <x:f>IF(E210=0,"",F210/E210)</x:f>
      </x:c>
    </x:row>
    <x:row r="211">
      <x:c r="H211" t="str">
        <x:f>IF(E211=0,"",F211/E211)</x:f>
      </x:c>
    </x:row>
    <x:row r="212">
      <x:c r="H212" t="str">
        <x:f>IF(E212=0,"",F212/E212)</x:f>
      </x:c>
    </x:row>
    <x:row r="213">
      <x:c r="H213" t="str">
        <x:f>IF(E213=0,"",F213/E213)</x:f>
      </x:c>
    </x:row>
    <x:row r="214">
      <x:c r="H214" t="str">
        <x:f>IF(E214=0,"",F214/E214)</x:f>
      </x:c>
    </x:row>
    <x:row r="215">
      <x:c r="H215" t="str">
        <x:f>IF(E215=0,"",F215/E215)</x:f>
      </x:c>
    </x:row>
    <x:row r="216">
      <x:c r="H216" t="str">
        <x:f>IF(E216=0,"",F216/E216)</x:f>
      </x:c>
    </x:row>
    <x:row r="217">
      <x:c r="H217" t="str">
        <x:f>IF(E217=0,"",F217/E217)</x:f>
      </x:c>
    </x:row>
    <x:row r="218">
      <x:c r="H218" t="str">
        <x:f>IF(E218=0,"",F218/E218)</x:f>
      </x:c>
    </x:row>
    <x:row r="219">
      <x:c r="H219" t="str">
        <x:f>IF(E219=0,"",F219/E219)</x:f>
      </x:c>
    </x:row>
    <x:row r="220">
      <x:c r="H220" t="str">
        <x:f>IF(E220=0,"",F220/E220)</x:f>
      </x:c>
    </x:row>
    <x:row r="221">
      <x:c r="H221" t="str">
        <x:f>IF(E221=0,"",F221/E221)</x:f>
      </x:c>
    </x:row>
    <x:row r="222">
      <x:c r="H222" t="str">
        <x:f>IF(E222=0,"",F222/E222)</x:f>
      </x:c>
    </x:row>
    <x:row r="223">
      <x:c r="H223" t="str">
        <x:f>IF(E223=0,"",F223/E223)</x:f>
      </x:c>
    </x:row>
    <x:row r="224">
      <x:c r="H224" t="str">
        <x:f>IF(E224=0,"",F224/E224)</x:f>
      </x:c>
    </x:row>
    <x:row r="225">
      <x:c r="H225" t="str">
        <x:f>IF(E225=0,"",F225/E225)</x:f>
      </x:c>
    </x:row>
    <x:row r="226">
      <x:c r="H226" t="str">
        <x:f>IF(E226=0,"",F226/E226)</x:f>
      </x:c>
    </x:row>
    <x:row r="227">
      <x:c r="H227" t="str">
        <x:f>IF(E227=0,"",F227/E227)</x:f>
      </x:c>
    </x:row>
    <x:row r="228">
      <x:c r="H228" t="str">
        <x:f>IF(E228=0,"",F228/E228)</x:f>
      </x:c>
    </x:row>
    <x:row r="229">
      <x:c r="H229" t="str">
        <x:f>IF(E229=0,"",F229/E229)</x:f>
      </x:c>
    </x:row>
    <x:row r="230">
      <x:c r="H230" t="str">
        <x:f>IF(E230=0,"",F230/E230)</x:f>
      </x:c>
    </x:row>
    <x:row r="231">
      <x:c r="H231" t="str">
        <x:f>IF(E231=0,"",F231/E231)</x:f>
      </x:c>
    </x:row>
    <x:row r="232">
      <x:c r="H232" t="str">
        <x:f>IF(E232=0,"",F232/E232)</x:f>
      </x:c>
    </x:row>
    <x:row r="233">
      <x:c r="H233" t="str">
        <x:f>IF(E233=0,"",F233/E233)</x:f>
      </x:c>
    </x:row>
    <x:row r="234">
      <x:c r="H234" t="str">
        <x:f>IF(E234=0,"",F234/E234)</x:f>
      </x:c>
    </x:row>
    <x:row r="235">
      <x:c r="H235" t="str">
        <x:f>IF(E235=0,"",F235/E235)</x:f>
      </x:c>
    </x:row>
    <x:row r="236">
      <x:c r="H236" t="str">
        <x:f>IF(E236=0,"",F236/E236)</x:f>
      </x:c>
    </x:row>
    <x:row r="237">
      <x:c r="H237" t="str">
        <x:f>IF(E237=0,"",F237/E237)</x:f>
      </x:c>
    </x:row>
    <x:row r="238">
      <x:c r="H238" t="str">
        <x:f>IF(E238=0,"",F238/E238)</x:f>
      </x:c>
    </x:row>
    <x:row r="239">
      <x:c r="H239" t="str">
        <x:f>IF(E239=0,"",F239/E239)</x:f>
      </x:c>
    </x:row>
    <x:row r="240">
      <x:c r="H240" t="str">
        <x:f>IF(E240=0,"",F240/E240)</x:f>
      </x:c>
    </x:row>
    <x:row r="241">
      <x:c r="H241" t="str">
        <x:f>IF(E241=0,"",F241/E241)</x:f>
      </x:c>
    </x:row>
    <x:row r="242">
      <x:c r="H242" t="str">
        <x:f>IF(E242=0,"",F242/E242)</x:f>
      </x:c>
    </x:row>
    <x:row r="243">
      <x:c r="H243" t="str">
        <x:f>IF(E243=0,"",F243/E243)</x:f>
      </x:c>
    </x:row>
    <x:row r="244">
      <x:c r="H244" t="str">
        <x:f>IF(E244=0,"",F244/E244)</x:f>
      </x:c>
    </x:row>
    <x:row r="245">
      <x:c r="H245" t="str">
        <x:f>IF(E245=0,"",F245/E245)</x:f>
      </x:c>
    </x:row>
    <x:row r="246">
      <x:c r="H246" t="str">
        <x:f>IF(E246=0,"",F246/E246)</x:f>
      </x:c>
    </x:row>
    <x:row r="247">
      <x:c r="H247" t="str">
        <x:f>IF(E247=0,"",F247/E247)</x:f>
      </x:c>
    </x:row>
    <x:row r="248">
      <x:c r="H248" t="str">
        <x:f>IF(E248=0,"",F248/E248)</x:f>
      </x:c>
    </x:row>
    <x:row r="249">
      <x:c r="H249" t="str">
        <x:f>IF(E249=0,"",F249/E249)</x:f>
      </x:c>
    </x:row>
    <x:row r="250">
      <x:c r="H250" t="str">
        <x:f>IF(E250=0,"",F250/E250)</x:f>
      </x:c>
    </x:row>
    <x:row r="251">
      <x:c r="H251" t="str">
        <x:f>IF(E251=0,"",F251/E251)</x:f>
      </x:c>
    </x:row>
    <x:row r="252">
      <x:c r="H252" t="str">
        <x:f>IF(E252=0,"",F252/E252)</x:f>
      </x:c>
    </x:row>
    <x:row r="253">
      <x:c r="H253" t="str">
        <x:f>IF(E253=0,"",F253/E253)</x:f>
      </x:c>
    </x:row>
    <x:row r="254">
      <x:c r="H254" t="str">
        <x:f>IF(E254=0,"",F254/E254)</x:f>
      </x:c>
    </x:row>
    <x:row r="255">
      <x:c r="H255" t="str">
        <x:f>IF(E255=0,"",F255/E255)</x:f>
      </x:c>
    </x:row>
    <x:row r="256">
      <x:c r="H256" t="str">
        <x:f>IF(E256=0,"",F256/E256)</x:f>
      </x:c>
    </x:row>
    <x:row r="257">
      <x:c r="H257" t="str">
        <x:f>IF(E257=0,"",F257/E257)</x:f>
      </x:c>
    </x:row>
    <x:row r="258">
      <x:c r="H258" t="str">
        <x:f>IF(E258=0,"",F258/E258)</x:f>
      </x:c>
    </x:row>
    <x:row r="259">
      <x:c r="H259" t="str">
        <x:f>IF(E259=0,"",F259/E259)</x:f>
      </x:c>
    </x:row>
    <x:row r="260">
      <x:c r="H260" t="str">
        <x:f>IF(E260=0,"",F260/E260)</x:f>
      </x:c>
    </x:row>
    <x:row r="261">
      <x:c r="H261" t="str">
        <x:f>IF(E261=0,"",F261/E261)</x:f>
      </x:c>
    </x:row>
    <x:row r="262">
      <x:c r="H262" t="str">
        <x:f>IF(E262=0,"",F262/E262)</x:f>
      </x:c>
    </x:row>
    <x:row r="263">
      <x:c r="H263" t="str">
        <x:f>IF(E263=0,"",F263/E263)</x:f>
      </x:c>
    </x:row>
    <x:row r="264">
      <x:c r="H264" t="str">
        <x:f>IF(E264=0,"",F264/E264)</x:f>
      </x:c>
    </x:row>
    <x:row r="265">
      <x:c r="H265" t="str">
        <x:f>IF(E265=0,"",F265/E265)</x:f>
      </x:c>
    </x:row>
    <x:row r="266">
      <x:c r="H266" t="str">
        <x:f>IF(E266=0,"",F266/E266)</x:f>
      </x:c>
    </x:row>
    <x:row r="267">
      <x:c r="H267" t="str">
        <x:f>IF(E267=0,"",F267/E267)</x:f>
      </x:c>
    </x:row>
    <x:row r="268">
      <x:c r="H268" t="str">
        <x:f>IF(E268=0,"",F268/E268)</x:f>
      </x:c>
    </x:row>
    <x:row r="269">
      <x:c r="H269" t="str">
        <x:f>IF(E269=0,"",F269/E269)</x:f>
      </x:c>
    </x:row>
    <x:row r="270">
      <x:c r="H270" t="str">
        <x:f>IF(E270=0,"",F270/E270)</x:f>
      </x:c>
    </x:row>
    <x:row r="271">
      <x:c r="H271" t="str">
        <x:f>IF(E271=0,"",F271/E271)</x:f>
      </x:c>
    </x:row>
    <x:row r="272">
      <x:c r="H272" t="str">
        <x:f>IF(E272=0,"",F272/E272)</x:f>
      </x:c>
    </x:row>
    <x:row r="273">
      <x:c r="H273" t="str">
        <x:f>IF(E273=0,"",F273/E273)</x:f>
      </x:c>
    </x:row>
    <x:row r="274">
      <x:c r="H274" t="str">
        <x:f>IF(E274=0,"",F274/E274)</x:f>
      </x:c>
    </x:row>
    <x:row r="275">
      <x:c r="H275" t="str">
        <x:f>IF(E275=0,"",F275/E275)</x:f>
      </x:c>
    </x:row>
    <x:row r="276">
      <x:c r="H276" t="str">
        <x:f>IF(E276=0,"",F276/E276)</x:f>
      </x:c>
    </x:row>
    <x:row r="277">
      <x:c r="H277" t="str">
        <x:f>IF(E277=0,"",F277/E277)</x:f>
      </x:c>
    </x:row>
    <x:row r="278">
      <x:c r="H278" t="str">
        <x:f>IF(E278=0,"",F278/E278)</x:f>
      </x:c>
    </x:row>
    <x:row r="279">
      <x:c r="H279" t="str">
        <x:f>IF(E279=0,"",F279/E279)</x:f>
      </x:c>
    </x:row>
    <x:row r="280">
      <x:c r="H280" t="str">
        <x:f>IF(E280=0,"",F280/E280)</x:f>
      </x:c>
    </x:row>
    <x:row r="281">
      <x:c r="H281" t="str">
        <x:f>IF(E281=0,"",F281/E281)</x:f>
      </x:c>
    </x:row>
    <x:row r="282">
      <x:c r="H282" t="str">
        <x:f>IF(E282=0,"",F282/E282)</x:f>
      </x:c>
    </x:row>
    <x:row r="283">
      <x:c r="H283" t="str">
        <x:f>IF(E283=0,"",F283/E283)</x:f>
      </x:c>
    </x:row>
    <x:row r="284">
      <x:c r="H284" t="str">
        <x:f>IF(E284=0,"",F284/E284)</x:f>
      </x:c>
    </x:row>
    <x:row r="285">
      <x:c r="H285" t="str">
        <x:f>IF(E285=0,"",F285/E285)</x:f>
      </x:c>
    </x:row>
    <x:row r="286">
      <x:c r="H286" t="str">
        <x:f>IF(E286=0,"",F286/E286)</x:f>
      </x:c>
    </x:row>
    <x:row r="287">
      <x:c r="H287" t="str">
        <x:f>IF(E287=0,"",F287/E287)</x:f>
      </x:c>
    </x:row>
    <x:row r="288">
      <x:c r="H288" t="str">
        <x:f>IF(E288=0,"",F288/E288)</x:f>
      </x:c>
    </x:row>
    <x:row r="289">
      <x:c r="H289" t="str">
        <x:f>IF(E289=0,"",F289/E289)</x:f>
      </x:c>
    </x:row>
    <x:row r="290">
      <x:c r="H290" t="str">
        <x:f>IF(E290=0,"",F290/E290)</x:f>
      </x:c>
    </x:row>
    <x:row r="291">
      <x:c r="H291" t="str">
        <x:f>IF(E291=0,"",F291/E291)</x:f>
      </x:c>
    </x:row>
    <x:row r="292">
      <x:c r="H292" t="str">
        <x:f>IF(E292=0,"",F292/E292)</x:f>
      </x:c>
    </x:row>
    <x:row r="293">
      <x:c r="H293" t="str">
        <x:f>IF(E293=0,"",F293/E293)</x:f>
      </x:c>
    </x:row>
    <x:row r="294">
      <x:c r="H294" t="str">
        <x:f>IF(E294=0,"",F294/E294)</x:f>
      </x:c>
    </x:row>
    <x:row r="295">
      <x:c r="H295" t="str">
        <x:f>IF(E295=0,"",F295/E295)</x:f>
      </x:c>
    </x:row>
    <x:row r="296">
      <x:c r="H296" t="str">
        <x:f>IF(E296=0,"",F296/E296)</x:f>
      </x:c>
    </x:row>
    <x:row r="297">
      <x:c r="H297" t="str">
        <x:f>IF(E297=0,"",F297/E297)</x:f>
      </x:c>
    </x:row>
    <x:row r="298">
      <x:c r="H298" t="str">
        <x:f>IF(E298=0,"",F298/E298)</x:f>
      </x:c>
    </x:row>
    <x:row r="299">
      <x:c r="H299" t="str">
        <x:f>IF(E299=0,"",F299/E299)</x:f>
      </x:c>
    </x:row>
    <x:row r="300">
      <x:c r="H300" t="str">
        <x:f>IF(E300=0,"",F300/E300)</x:f>
      </x:c>
    </x:row>
    <x:row r="301">
      <x:c r="H301" t="str">
        <x:f>IF(E301=0,"",F301/E301)</x:f>
      </x:c>
    </x:row>
    <x:row r="302">
      <x:c r="H302" t="str">
        <x:f>IF(E302=0,"",F302/E302)</x:f>
      </x:c>
    </x:row>
    <x:row r="303">
      <x:c r="H303" t="str">
        <x:f>IF(E303=0,"",F303/E303)</x:f>
      </x:c>
    </x:row>
    <x:row r="304">
      <x:c r="H304" t="str">
        <x:f>IF(E304=0,"",F304/E304)</x:f>
      </x:c>
    </x:row>
    <x:row r="305">
      <x:c r="H305" t="str">
        <x:f>IF(E305=0,"",F305/E305)</x:f>
      </x:c>
    </x:row>
    <x:row r="306">
      <x:c r="H306" t="str">
        <x:f>IF(E306=0,"",F306/E306)</x:f>
      </x:c>
    </x:row>
    <x:row r="307">
      <x:c r="H307" t="str">
        <x:f>IF(E307=0,"",F307/E307)</x:f>
      </x:c>
    </x:row>
    <x:row r="308">
      <x:c r="H308" t="str">
        <x:f>IF(E308=0,"",F308/E308)</x:f>
      </x:c>
    </x:row>
    <x:row r="309">
      <x:c r="H309" t="str">
        <x:f>IF(E309=0,"",F309/E309)</x:f>
      </x:c>
    </x:row>
    <x:row r="310">
      <x:c r="H310" t="str">
        <x:f>IF(E310=0,"",F310/E310)</x:f>
      </x:c>
    </x:row>
    <x:row r="311">
      <x:c r="H311" t="str">
        <x:f>IF(E311=0,"",F311/E311)</x:f>
      </x:c>
    </x:row>
    <x:row r="312">
      <x:c r="H312" t="str">
        <x:f>IF(E312=0,"",F312/E312)</x:f>
      </x:c>
    </x:row>
    <x:row r="313">
      <x:c r="H313" t="str">
        <x:f>IF(E313=0,"",F313/E313)</x:f>
      </x:c>
    </x:row>
    <x:row r="314">
      <x:c r="H314" t="str">
        <x:f>IF(E314=0,"",F314/E314)</x:f>
      </x:c>
    </x:row>
    <x:row r="315">
      <x:c r="H315" t="str">
        <x:f>IF(E315=0,"",F315/E315)</x:f>
      </x:c>
    </x:row>
    <x:row r="316">
      <x:c r="H316" t="str">
        <x:f>IF(E316=0,"",F316/E316)</x:f>
      </x:c>
    </x:row>
    <x:row r="317">
      <x:c r="H317" t="str">
        <x:f>IF(E317=0,"",F317/E317)</x:f>
      </x:c>
    </x:row>
    <x:row r="318">
      <x:c r="H318" t="str">
        <x:f>IF(E318=0,"",F318/E318)</x:f>
      </x:c>
    </x:row>
    <x:row r="319">
      <x:c r="H319" t="str">
        <x:f>IF(E319=0,"",F319/E319)</x:f>
      </x:c>
    </x:row>
    <x:row r="320">
      <x:c r="H320" t="str">
        <x:f>IF(E320=0,"",F320/E320)</x:f>
      </x:c>
    </x:row>
    <x:row r="321">
      <x:c r="H321" t="str">
        <x:f>IF(E321=0,"",F321/E321)</x:f>
      </x:c>
    </x:row>
    <x:row r="322">
      <x:c r="H322" t="str">
        <x:f>IF(E322=0,"",F322/E322)</x:f>
      </x:c>
    </x:row>
    <x:row r="323">
      <x:c r="H323" t="str">
        <x:f>IF(E323=0,"",F323/E323)</x:f>
      </x:c>
    </x:row>
    <x:row r="324">
      <x:c r="H324" t="str">
        <x:f>IF(E324=0,"",F324/E324)</x:f>
      </x:c>
    </x:row>
    <x:row r="325">
      <x:c r="H325" t="str">
        <x:f>IF(E325=0,"",F325/E325)</x:f>
      </x:c>
    </x:row>
    <x:row r="326">
      <x:c r="H326" t="str">
        <x:f>IF(E326=0,"",F326/E326)</x:f>
      </x:c>
    </x:row>
    <x:row r="327">
      <x:c r="H327" t="str">
        <x:f>IF(E327=0,"",F327/E327)</x:f>
      </x:c>
    </x:row>
    <x:row r="328">
      <x:c r="H328" t="str">
        <x:f>IF(E328=0,"",F328/E328)</x:f>
      </x:c>
    </x:row>
    <x:row r="329">
      <x:c r="H329" t="str">
        <x:f>IF(E329=0,"",F329/E329)</x:f>
      </x:c>
    </x:row>
    <x:row r="330">
      <x:c r="H330" t="str">
        <x:f>IF(E330=0,"",F330/E330)</x:f>
      </x:c>
    </x:row>
    <x:row r="331">
      <x:c r="H331" t="str">
        <x:f>IF(E331=0,"",F331/E331)</x:f>
      </x:c>
    </x:row>
    <x:row r="332">
      <x:c r="H332" t="str">
        <x:f>IF(E332=0,"",F332/E332)</x:f>
      </x:c>
    </x:row>
    <x:row r="333">
      <x:c r="H333" t="str">
        <x:f>IF(E333=0,"",F333/E333)</x:f>
      </x:c>
    </x:row>
    <x:row r="334">
      <x:c r="H334" t="str">
        <x:f>IF(E334=0,"",F334/E334)</x:f>
      </x:c>
    </x:row>
    <x:row r="335">
      <x:c r="H335" t="str">
        <x:f>IF(E335=0,"",F335/E335)</x:f>
      </x:c>
    </x:row>
    <x:row r="336">
      <x:c r="H336" t="str">
        <x:f>IF(E336=0,"",F336/E336)</x:f>
      </x:c>
    </x:row>
    <x:row r="337">
      <x:c r="H337" t="str">
        <x:f>IF(E337=0,"",F337/E337)</x:f>
      </x:c>
    </x:row>
    <x:row r="338">
      <x:c r="H338" t="str">
        <x:f>IF(E338=0,"",F338/E338)</x:f>
      </x:c>
    </x:row>
    <x:row r="339">
      <x:c r="H339" t="str">
        <x:f>IF(E339=0,"",F339/E339)</x:f>
      </x:c>
    </x:row>
    <x:row r="340">
      <x:c r="H340" t="str">
        <x:f>IF(E340=0,"",F340/E340)</x:f>
      </x:c>
    </x:row>
    <x:row r="341">
      <x:c r="H341" t="str">
        <x:f>IF(E341=0,"",F341/E341)</x:f>
      </x:c>
    </x:row>
    <x:row r="342">
      <x:c r="H342" t="str">
        <x:f>IF(E342=0,"",F342/E342)</x:f>
      </x:c>
    </x:row>
    <x:row r="343">
      <x:c r="H343" t="str">
        <x:f>IF(E343=0,"",F343/E343)</x:f>
      </x:c>
    </x:row>
    <x:row r="344">
      <x:c r="H344" t="str">
        <x:f>IF(E344=0,"",F344/E344)</x:f>
      </x:c>
    </x:row>
    <x:row r="345">
      <x:c r="H345" t="str">
        <x:f>IF(E345=0,"",F345/E345)</x:f>
      </x:c>
    </x:row>
    <x:row r="346">
      <x:c r="H346" t="str">
        <x:f>IF(E346=0,"",F346/E346)</x:f>
      </x:c>
    </x:row>
    <x:row r="347">
      <x:c r="H347" t="str">
        <x:f>IF(E347=0,"",F347/E347)</x:f>
      </x:c>
    </x:row>
    <x:row r="348">
      <x:c r="H348" t="str">
        <x:f>IF(E348=0,"",F348/E348)</x:f>
      </x:c>
    </x:row>
    <x:row r="349">
      <x:c r="H349" t="str">
        <x:f>IF(E349=0,"",F349/E349)</x:f>
      </x:c>
    </x:row>
    <x:row r="350">
      <x:c r="H350" t="str">
        <x:f>IF(E350=0,"",F350/E350)</x:f>
      </x:c>
    </x:row>
    <x:row r="351">
      <x:c r="H351" t="str">
        <x:f>IF(E351=0,"",F351/E351)</x:f>
      </x:c>
    </x:row>
    <x:row r="352">
      <x:c r="H352" t="str">
        <x:f>IF(E352=0,"",F352/E352)</x:f>
      </x:c>
    </x:row>
    <x:row r="353">
      <x:c r="H353" t="str">
        <x:f>IF(E353=0,"",F353/E353)</x:f>
      </x:c>
    </x:row>
    <x:row r="354">
      <x:c r="H354" t="str">
        <x:f>IF(E354=0,"",F354/E354)</x:f>
      </x:c>
    </x:row>
    <x:row r="355">
      <x:c r="H355" t="str">
        <x:f>IF(E355=0,"",F355/E355)</x:f>
      </x:c>
    </x:row>
    <x:row r="356">
      <x:c r="H356" t="str">
        <x:f>IF(E356=0,"",F356/E356)</x:f>
      </x:c>
    </x:row>
    <x:row r="357">
      <x:c r="H357" t="str">
        <x:f>IF(E357=0,"",F357/E357)</x:f>
      </x:c>
    </x:row>
    <x:row r="358">
      <x:c r="H358" t="str">
        <x:f>IF(E358=0,"",F358/E358)</x:f>
      </x:c>
    </x:row>
    <x:row r="359">
      <x:c r="H359" t="str">
        <x:f>IF(E359=0,"",F359/E359)</x:f>
      </x:c>
    </x:row>
    <x:row r="360">
      <x:c r="H360" t="str">
        <x:f>IF(E360=0,"",F360/E360)</x:f>
      </x:c>
    </x:row>
    <x:row r="361">
      <x:c r="H361" t="str">
        <x:f>IF(E361=0,"",F361/E361)</x:f>
      </x:c>
    </x:row>
    <x:row r="362">
      <x:c r="H362" t="str">
        <x:f>IF(E362=0,"",F362/E362)</x:f>
      </x:c>
    </x:row>
    <x:row r="363">
      <x:c r="H363" t="str">
        <x:f>IF(E363=0,"",F363/E363)</x:f>
      </x:c>
    </x:row>
    <x:row r="364">
      <x:c r="H364" t="str">
        <x:f>IF(E364=0,"",F364/E364)</x:f>
      </x:c>
    </x:row>
    <x:row r="365">
      <x:c r="H365" t="str">
        <x:f>IF(E365=0,"",F365/E365)</x:f>
      </x:c>
    </x:row>
    <x:row r="366">
      <x:c r="H366" t="str">
        <x:f>IF(E366=0,"",F366/E366)</x:f>
      </x:c>
    </x:row>
    <x:row r="367">
      <x:c r="H367" t="str">
        <x:f>IF(E367=0,"",F367/E367)</x:f>
      </x:c>
    </x:row>
    <x:row r="368">
      <x:c r="H368" t="str">
        <x:f>IF(E368=0,"",F368/E368)</x:f>
      </x:c>
    </x:row>
    <x:row r="369">
      <x:c r="H369" t="str">
        <x:f>IF(E369=0,"",F369/E369)</x:f>
      </x:c>
    </x:row>
    <x:row r="370">
      <x:c r="H370" t="str">
        <x:f>IF(E370=0,"",F370/E370)</x:f>
      </x:c>
    </x:row>
    <x:row r="371">
      <x:c r="H371" t="str">
        <x:f>IF(E371=0,"",F371/E371)</x:f>
      </x:c>
    </x:row>
    <x:row r="372">
      <x:c r="H372" t="str">
        <x:f>IF(E372=0,"",F372/E372)</x:f>
      </x:c>
    </x:row>
    <x:row r="373">
      <x:c r="H373" t="str">
        <x:f>IF(E373=0,"",F373/E373)</x:f>
      </x:c>
    </x:row>
    <x:row r="374">
      <x:c r="H374" t="str">
        <x:f>IF(E374=0,"",F374/E374)</x:f>
      </x:c>
    </x:row>
    <x:row r="375">
      <x:c r="H375" t="str">
        <x:f>IF(E375=0,"",F375/E375)</x:f>
      </x:c>
    </x:row>
    <x:row r="376">
      <x:c r="H376" t="str">
        <x:f>IF(E376=0,"",F376/E376)</x:f>
      </x:c>
    </x:row>
    <x:row r="377">
      <x:c r="H377" t="str">
        <x:f>IF(E377=0,"",F377/E377)</x:f>
      </x:c>
    </x:row>
    <x:row r="378">
      <x:c r="H378" t="str">
        <x:f>IF(E378=0,"",F378/E378)</x:f>
      </x:c>
    </x:row>
    <x:row r="379">
      <x:c r="H379" t="str">
        <x:f>IF(E379=0,"",F379/E379)</x:f>
      </x:c>
    </x:row>
    <x:row r="380">
      <x:c r="H380" t="str">
        <x:f>IF(E380=0,"",F380/E380)</x:f>
      </x:c>
    </x:row>
    <x:row r="381">
      <x:c r="H381" t="str">
        <x:f>IF(E381=0,"",F381/E381)</x:f>
      </x:c>
    </x:row>
    <x:row r="382">
      <x:c r="H382" t="str">
        <x:f>IF(E382=0,"",F382/E382)</x:f>
      </x:c>
    </x:row>
    <x:row r="383">
      <x:c r="H383" t="str">
        <x:f>IF(E383=0,"",F383/E383)</x:f>
      </x:c>
    </x:row>
    <x:row r="384">
      <x:c r="H384" t="str">
        <x:f>IF(E384=0,"",F384/E384)</x:f>
      </x:c>
    </x:row>
    <x:row r="385">
      <x:c r="H385" t="str">
        <x:f>IF(E385=0,"",F385/E385)</x:f>
      </x:c>
    </x:row>
    <x:row r="386">
      <x:c r="H386" t="str">
        <x:f>IF(E386=0,"",F386/E386)</x:f>
      </x:c>
    </x:row>
    <x:row r="387">
      <x:c r="H387" t="str">
        <x:f>IF(E387=0,"",F387/E387)</x:f>
      </x:c>
    </x:row>
    <x:row r="388">
      <x:c r="H388" t="str">
        <x:f>IF(E388=0,"",F388/E388)</x:f>
      </x:c>
    </x:row>
    <x:row r="389">
      <x:c r="H389" t="str">
        <x:f>IF(E389=0,"",F389/E389)</x:f>
      </x:c>
    </x:row>
    <x:row r="390">
      <x:c r="H390" t="str">
        <x:f>IF(E390=0,"",F390/E390)</x:f>
      </x:c>
    </x:row>
    <x:row r="391">
      <x:c r="H391" t="str">
        <x:f>IF(E391=0,"",F391/E391)</x:f>
      </x:c>
    </x:row>
    <x:row r="392">
      <x:c r="H392" t="str">
        <x:f>IF(E392=0,"",F392/E392)</x:f>
      </x:c>
    </x:row>
    <x:row r="393">
      <x:c r="H393" t="str">
        <x:f>IF(E393=0,"",F393/E393)</x:f>
      </x:c>
    </x:row>
    <x:row r="394">
      <x:c r="H394" t="str">
        <x:f>IF(E394=0,"",F394/E394)</x:f>
      </x:c>
    </x:row>
    <x:row r="395">
      <x:c r="H395" t="str">
        <x:f>IF(E395=0,"",F395/E395)</x:f>
      </x:c>
    </x:row>
    <x:row r="396">
      <x:c r="H396" t="str">
        <x:f>IF(E396=0,"",F396/E396)</x:f>
      </x:c>
    </x:row>
    <x:row r="397">
      <x:c r="H397" t="str">
        <x:f>IF(E397=0,"",F397/E397)</x:f>
      </x:c>
    </x:row>
    <x:row r="398">
      <x:c r="H398" t="str">
        <x:f>IF(E398=0,"",F398/E398)</x:f>
      </x:c>
    </x:row>
    <x:row r="399">
      <x:c r="H399" t="str">
        <x:f>IF(E399=0,"",F399/E399)</x:f>
      </x:c>
    </x:row>
    <x:row r="400">
      <x:c r="H400" t="str">
        <x:f>IF(E400=0,"",F400/E400)</x:f>
      </x:c>
    </x:row>
    <x:row r="401">
      <x:c r="H401" t="str">
        <x:f>IF(E401=0,"",F401/E401)</x:f>
      </x:c>
    </x:row>
    <x:row r="402">
      <x:c r="H402" t="str">
        <x:f>IF(E402=0,"",F402/E402)</x:f>
      </x:c>
    </x:row>
    <x:row r="403">
      <x:c r="H403" t="str">
        <x:f>IF(E403=0,"",F403/E403)</x:f>
      </x:c>
    </x:row>
    <x:row r="404">
      <x:c r="H404" t="str">
        <x:f>IF(E404=0,"",F404/E404)</x:f>
      </x:c>
    </x:row>
    <x:row r="405">
      <x:c r="H405" t="str">
        <x:f>IF(E405=0,"",F405/E405)</x:f>
      </x:c>
    </x:row>
    <x:row r="406">
      <x:c r="H406" t="str">
        <x:f>IF(E406=0,"",F406/E406)</x:f>
      </x:c>
    </x:row>
    <x:row r="407">
      <x:c r="H407" t="str">
        <x:f>IF(E407=0,"",F407/E407)</x:f>
      </x:c>
    </x:row>
    <x:row r="408">
      <x:c r="H408" t="str">
        <x:f>IF(E408=0,"",F408/E408)</x:f>
      </x:c>
    </x:row>
    <x:row r="409">
      <x:c r="H409" t="str">
        <x:f>IF(E409=0,"",F409/E409)</x:f>
      </x:c>
    </x:row>
    <x:row r="410">
      <x:c r="H410" t="str">
        <x:f>IF(E410=0,"",F410/E410)</x:f>
      </x:c>
    </x:row>
    <x:row r="411">
      <x:c r="H411" t="str">
        <x:f>IF(E411=0,"",F411/E411)</x:f>
      </x:c>
    </x:row>
    <x:row r="412">
      <x:c r="H412" t="str">
        <x:f>IF(E412=0,"",F412/E412)</x:f>
      </x:c>
    </x:row>
    <x:row r="413">
      <x:c r="H413" t="str">
        <x:f>IF(E413=0,"",F413/E413)</x:f>
      </x:c>
    </x:row>
    <x:row r="414">
      <x:c r="H414" t="str">
        <x:f>IF(E414=0,"",F414/E414)</x:f>
      </x:c>
    </x:row>
    <x:row r="415">
      <x:c r="H415" t="str">
        <x:f>IF(E415=0,"",F415/E415)</x:f>
      </x:c>
    </x:row>
    <x:row r="416">
      <x:c r="H416" t="str">
        <x:f>IF(E416=0,"",F416/E416)</x:f>
      </x:c>
    </x:row>
    <x:row r="417">
      <x:c r="H417" t="str">
        <x:f>IF(E417=0,"",F417/E417)</x:f>
      </x:c>
    </x:row>
    <x:row r="418">
      <x:c r="H418" t="str">
        <x:f>IF(E418=0,"",F418/E418)</x:f>
      </x:c>
    </x:row>
    <x:row r="419">
      <x:c r="H419" t="str">
        <x:f>IF(E419=0,"",F419/E419)</x:f>
      </x:c>
    </x:row>
    <x:row r="420">
      <x:c r="H420" t="str">
        <x:f>IF(E420=0,"",F420/E420)</x:f>
      </x:c>
    </x:row>
    <x:row r="421">
      <x:c r="H421" t="str">
        <x:f>IF(E421=0,"",F421/E421)</x:f>
      </x:c>
    </x:row>
    <x:row r="422">
      <x:c r="H422" t="str">
        <x:f>IF(E422=0,"",F422/E422)</x:f>
      </x:c>
    </x:row>
    <x:row r="423">
      <x:c r="H423" t="str">
        <x:f>IF(E423=0,"",F423/E423)</x:f>
      </x:c>
    </x:row>
    <x:row r="424">
      <x:c r="H424" t="str">
        <x:f>IF(E424=0,"",F424/E424)</x:f>
      </x:c>
    </x:row>
    <x:row r="425">
      <x:c r="H425" t="str">
        <x:f>IF(E425=0,"",F425/E425)</x:f>
      </x:c>
    </x:row>
    <x:row r="426">
      <x:c r="H426" t="str">
        <x:f>IF(E426=0,"",F426/E426)</x:f>
      </x:c>
    </x:row>
    <x:row r="427">
      <x:c r="H427" t="str">
        <x:f>IF(E427=0,"",F427/E427)</x:f>
      </x:c>
    </x:row>
    <x:row r="428">
      <x:c r="H428" t="str">
        <x:f>IF(E428=0,"",F428/E428)</x:f>
      </x:c>
    </x:row>
    <x:row r="429">
      <x:c r="H429" t="str">
        <x:f>IF(E429=0,"",F429/E429)</x:f>
      </x:c>
    </x:row>
    <x:row r="430">
      <x:c r="H430" t="str">
        <x:f>IF(E430=0,"",F430/E430)</x:f>
      </x:c>
    </x:row>
    <x:row r="431">
      <x:c r="H431" t="str">
        <x:f>IF(E431=0,"",F431/E431)</x:f>
      </x:c>
    </x:row>
    <x:row r="432">
      <x:c r="H432" t="str">
        <x:f>IF(E432=0,"",F432/E432)</x:f>
      </x:c>
    </x:row>
    <x:row r="433">
      <x:c r="H433" t="str">
        <x:f>IF(E433=0,"",F433/E433)</x:f>
      </x:c>
    </x:row>
    <x:row r="434">
      <x:c r="H434" t="str">
        <x:f>IF(E434=0,"",F434/E434)</x:f>
      </x:c>
    </x:row>
    <x:row r="435">
      <x:c r="H435" t="str">
        <x:f>IF(E435=0,"",F435/E435)</x:f>
      </x:c>
    </x:row>
    <x:row r="436">
      <x:c r="H436" t="str">
        <x:f>IF(E436=0,"",F436/E436)</x:f>
      </x:c>
    </x:row>
    <x:row r="437">
      <x:c r="H437" t="str">
        <x:f>IF(E437=0,"",F437/E437)</x:f>
      </x:c>
    </x:row>
    <x:row r="438">
      <x:c r="H438" t="str">
        <x:f>IF(E438=0,"",F438/E438)</x:f>
      </x:c>
    </x:row>
    <x:row r="439">
      <x:c r="H439" t="str">
        <x:f>IF(E439=0,"",F439/E439)</x:f>
      </x:c>
    </x:row>
    <x:row r="440">
      <x:c r="H440" t="str">
        <x:f>IF(E440=0,"",F440/E440)</x:f>
      </x:c>
    </x:row>
    <x:row r="441">
      <x:c r="H441" t="str">
        <x:f>IF(E441=0,"",F441/E441)</x:f>
      </x:c>
    </x:row>
    <x:row r="442">
      <x:c r="H442" t="str">
        <x:f>IF(E442=0,"",F442/E442)</x:f>
      </x:c>
    </x:row>
    <x:row r="443">
      <x:c r="H443" t="str">
        <x:f>IF(E443=0,"",F443/E443)</x:f>
      </x:c>
    </x:row>
    <x:row r="444">
      <x:c r="H444" t="str">
        <x:f>IF(E444=0,"",F444/E444)</x:f>
      </x:c>
    </x:row>
    <x:row r="445">
      <x:c r="H445" t="str">
        <x:f>IF(E445=0,"",F445/E445)</x:f>
      </x:c>
    </x:row>
    <x:row r="446">
      <x:c r="H446" t="str">
        <x:f>IF(E446=0,"",F446/E446)</x:f>
      </x:c>
    </x:row>
    <x:row r="447">
      <x:c r="H447" t="str">
        <x:f>IF(E447=0,"",F447/E447)</x:f>
      </x:c>
    </x:row>
    <x:row r="448">
      <x:c r="H448" t="str">
        <x:f>IF(E448=0,"",F448/E448)</x:f>
      </x:c>
    </x:row>
    <x:row r="449">
      <x:c r="H449" t="str">
        <x:f>IF(E449=0,"",F449/E449)</x:f>
      </x:c>
    </x:row>
    <x:row r="450">
      <x:c r="H450" t="str">
        <x:f>IF(E450=0,"",F450/E450)</x:f>
      </x:c>
    </x:row>
    <x:row r="451">
      <x:c r="H451" t="str">
        <x:f>IF(E451=0,"",F451/E451)</x:f>
      </x:c>
    </x:row>
    <x:row r="452">
      <x:c r="H452" t="str">
        <x:f>IF(E452=0,"",F452/E452)</x:f>
      </x:c>
    </x:row>
    <x:row r="453">
      <x:c r="H453" t="str">
        <x:f>IF(E453=0,"",F453/E453)</x:f>
      </x:c>
    </x:row>
    <x:row r="454">
      <x:c r="H454" t="str">
        <x:f>IF(E454=0,"",F454/E454)</x:f>
      </x:c>
    </x:row>
    <x:row r="455">
      <x:c r="H455" t="str">
        <x:f>IF(E455=0,"",F455/E455)</x:f>
      </x:c>
    </x:row>
    <x:row r="456">
      <x:c r="H456" t="str">
        <x:f>IF(E456=0,"",F456/E456)</x:f>
      </x:c>
    </x:row>
    <x:row r="457">
      <x:c r="H457" t="str">
        <x:f>IF(E457=0,"",F457/E457)</x:f>
      </x:c>
    </x:row>
    <x:row r="458">
      <x:c r="H458" t="str">
        <x:f>IF(E458=0,"",F458/E458)</x:f>
      </x:c>
    </x:row>
    <x:row r="459">
      <x:c r="H459" t="str">
        <x:f>IF(E459=0,"",F459/E459)</x:f>
      </x:c>
    </x:row>
    <x:row r="460">
      <x:c r="H460" t="str">
        <x:f>IF(E460=0,"",F460/E460)</x:f>
      </x:c>
    </x:row>
    <x:row r="461">
      <x:c r="H461" t="str">
        <x:f>IF(E461=0,"",F461/E461)</x:f>
      </x:c>
    </x:row>
    <x:row r="462">
      <x:c r="H462" t="str">
        <x:f>IF(E462=0,"",F462/E462)</x:f>
      </x:c>
    </x:row>
    <x:row r="463">
      <x:c r="H463" t="str">
        <x:f>IF(E463=0,"",F463/E463)</x:f>
      </x:c>
    </x:row>
    <x:row r="464">
      <x:c r="H464" t="str">
        <x:f>IF(E464=0,"",F464/E464)</x:f>
      </x:c>
    </x:row>
    <x:row r="465">
      <x:c r="H465" t="str">
        <x:f>IF(E465=0,"",F465/E465)</x:f>
      </x:c>
    </x:row>
    <x:row r="466">
      <x:c r="H466" t="str">
        <x:f>IF(E466=0,"",F466/E466)</x:f>
      </x:c>
    </x:row>
    <x:row r="467">
      <x:c r="H467" t="str">
        <x:f>IF(E467=0,"",F467/E467)</x:f>
      </x:c>
    </x:row>
    <x:row r="468">
      <x:c r="H468" t="str">
        <x:f>IF(E468=0,"",F468/E468)</x:f>
      </x:c>
    </x:row>
    <x:row r="469">
      <x:c r="H469" t="str">
        <x:f>IF(E469=0,"",F469/E469)</x:f>
      </x:c>
    </x:row>
    <x:row r="470">
      <x:c r="H470" t="str">
        <x:f>IF(E470=0,"",F470/E470)</x:f>
      </x:c>
    </x:row>
    <x:row r="471">
      <x:c r="H471" t="str">
        <x:f>IF(E471=0,"",F471/E471)</x:f>
      </x:c>
    </x:row>
    <x:row r="472">
      <x:c r="H472" t="str">
        <x:f>IF(E472=0,"",F472/E472)</x:f>
      </x:c>
    </x:row>
    <x:row r="473">
      <x:c r="H473" t="str">
        <x:f>IF(E473=0,"",F473/E473)</x:f>
      </x:c>
    </x:row>
    <x:row r="474">
      <x:c r="H474" t="str">
        <x:f>IF(E474=0,"",F474/E474)</x:f>
      </x:c>
    </x:row>
    <x:row r="475">
      <x:c r="H475" t="str">
        <x:f>IF(E475=0,"",F475/E475)</x:f>
      </x:c>
    </x:row>
    <x:row r="476">
      <x:c r="H476" t="str">
        <x:f>IF(E476=0,"",F476/E476)</x:f>
      </x:c>
    </x:row>
    <x:row r="477">
      <x:c r="H477" t="str">
        <x:f>IF(E477=0,"",F477/E477)</x:f>
      </x:c>
    </x:row>
    <x:row r="478">
      <x:c r="H478" t="str">
        <x:f>IF(E478=0,"",F478/E478)</x:f>
      </x:c>
    </x:row>
    <x:row r="479">
      <x:c r="H479" t="str">
        <x:f>IF(E479=0,"",F479/E479)</x:f>
      </x:c>
    </x:row>
    <x:row r="480">
      <x:c r="H480" t="str">
        <x:f>IF(E480=0,"",F480/E480)</x:f>
      </x:c>
    </x:row>
    <x:row r="481">
      <x:c r="H481" t="str">
        <x:f>IF(E481=0,"",F481/E481)</x:f>
      </x:c>
    </x:row>
    <x:row r="482">
      <x:c r="H482" t="str">
        <x:f>IF(E482=0,"",F482/E482)</x:f>
      </x:c>
    </x:row>
    <x:row r="483">
      <x:c r="H483" t="str">
        <x:f>IF(E483=0,"",F483/E483)</x:f>
      </x:c>
    </x:row>
    <x:row r="484">
      <x:c r="H484" t="str">
        <x:f>IF(E484=0,"",F484/E484)</x:f>
      </x:c>
    </x:row>
    <x:row r="485">
      <x:c r="H485" t="str">
        <x:f>IF(E485=0,"",F485/E485)</x:f>
      </x:c>
    </x:row>
    <x:row r="486">
      <x:c r="H486" t="str">
        <x:f>IF(E486=0,"",F486/E486)</x:f>
      </x:c>
    </x:row>
    <x:row r="487">
      <x:c r="H487" t="str">
        <x:f>IF(E487=0,"",F487/E487)</x:f>
      </x:c>
    </x:row>
    <x:row r="488">
      <x:c r="H488" t="str">
        <x:f>IF(E488=0,"",F488/E488)</x:f>
      </x:c>
    </x:row>
    <x:row r="489">
      <x:c r="H489" t="str">
        <x:f>IF(E489=0,"",F489/E489)</x:f>
      </x:c>
    </x:row>
    <x:row r="490">
      <x:c r="H490" t="str">
        <x:f>IF(E490=0,"",F490/E490)</x:f>
      </x:c>
    </x:row>
    <x:row r="491">
      <x:c r="H491" t="str">
        <x:f>IF(E491=0,"",F491/E491)</x:f>
      </x:c>
    </x:row>
    <x:row r="492">
      <x:c r="H492" t="str">
        <x:f>IF(E492=0,"",F492/E492)</x:f>
      </x:c>
    </x:row>
    <x:row r="493">
      <x:c r="H493" t="str">
        <x:f>IF(E493=0,"",F493/E493)</x:f>
      </x:c>
    </x:row>
    <x:row r="494">
      <x:c r="H494" t="str">
        <x:f>IF(E494=0,"",F494/E494)</x:f>
      </x:c>
    </x:row>
    <x:row r="495">
      <x:c r="H495" t="str">
        <x:f>IF(E495=0,"",F495/E495)</x:f>
      </x:c>
    </x:row>
    <x:row r="496">
      <x:c r="H496" t="str">
        <x:f>IF(E496=0,"",F496/E496)</x:f>
      </x:c>
    </x:row>
    <x:row r="497">
      <x:c r="H497" t="str">
        <x:f>IF(E497=0,"",F497/E497)</x:f>
      </x:c>
    </x:row>
    <x:row r="498">
      <x:c r="H498" t="str">
        <x:f>IF(E498=0,"",F498/E498)</x:f>
      </x:c>
    </x:row>
    <x:row r="499">
      <x:c r="H499" t="str">
        <x:f>IF(E499=0,"",F499/E499)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Data</x:t>
        </x:is>
      </x:c>
      <x:c r="B1" t="inlineStr">
        <x:is>
          <x:t xml:space="preserve">Português</x:t>
        </x:is>
      </x:c>
      <x:c r="C1" t="inlineStr">
        <x:is>
          <x:t xml:space="preserve">Inglês</x:t>
        </x:is>
      </x:c>
      <x:c r="D1" t="inlineStr">
        <x:is>
          <x:t xml:space="preserve">Raciocínio</x:t>
        </x:is>
      </x:c>
      <x:c r="E1" t="inlineStr">
        <x:is>
          <x:t xml:space="preserve">Atualidades</x:t>
        </x:is>
      </x:c>
      <x:c r="F1" t="inlineStr">
        <x:is>
          <x:t xml:space="preserve">Legislação</x:t>
        </x:is>
      </x:c>
      <x:c r="G1" t="inlineStr">
        <x:is>
          <x:t xml:space="preserve">Específicas</x:t>
        </x:is>
      </x:c>
      <x:c r="H1" t="inlineStr">
        <x:is>
          <x:t xml:space="preserve">Total Acertos</x:t>
        </x:is>
      </x:c>
      <x:c r="I1" t="inlineStr">
        <x:is>
          <x:t xml:space="preserve">Total Questões</x:t>
        </x:is>
      </x:c>
      <x:c r="J1" t="inlineStr">
        <x:is>
          <x:t xml:space="preserve">%</x:t>
        </x:is>
      </x:c>
      <x:c r="K1" t="inlineStr">
        <x:is>
          <x:t xml:space="preserve">Observações</x:t>
        </x:is>
      </x:c>
    </x:row>
    <x:row r="2">
      <x:c r="H2" t="n">
        <x:f>SUM(B2:G2)</x:f>
        <x:v>0</x:v>
      </x:c>
      <x:c r="I2" t="inlineStr">
        <x:is>
          <x:t xml:space="preserve">70</x:t>
        </x:is>
      </x:c>
      <x:c r="J2" t="n">
        <x:f>H2/I2</x:f>
        <x:v>0</x:v>
      </x:c>
    </x:row>
    <x:row r="3">
      <x:c r="H3" t="n">
        <x:f>SUM(B3:G3)</x:f>
        <x:v>0</x:v>
      </x:c>
      <x:c r="I3" t="inlineStr">
        <x:is>
          <x:t xml:space="preserve">70</x:t>
        </x:is>
      </x:c>
      <x:c r="J3" t="n">
        <x:f>H3/I3</x:f>
        <x:v>0</x:v>
      </x:c>
    </x:row>
    <x:row r="4">
      <x:c r="H4" t="n">
        <x:f>SUM(B4:G4)</x:f>
        <x:v>0</x:v>
      </x:c>
      <x:c r="I4" t="inlineStr">
        <x:is>
          <x:t xml:space="preserve">70</x:t>
        </x:is>
      </x:c>
      <x:c r="J4" t="n">
        <x:f>H4/I4</x:f>
        <x:v>0</x:v>
      </x:c>
    </x:row>
    <x:row r="5">
      <x:c r="H5" t="n">
        <x:f>SUM(B5:G5)</x:f>
        <x:v>0</x:v>
      </x:c>
      <x:c r="I5" t="inlineStr">
        <x:is>
          <x:t xml:space="preserve">70</x:t>
        </x:is>
      </x:c>
      <x:c r="J5" t="n">
        <x:f>H5/I5</x:f>
        <x:v>0</x:v>
      </x:c>
    </x:row>
    <x:row r="6">
      <x:c r="H6" t="n">
        <x:f>SUM(B6:G6)</x:f>
        <x:v>0</x:v>
      </x:c>
      <x:c r="I6" t="inlineStr">
        <x:is>
          <x:t xml:space="preserve">70</x:t>
        </x:is>
      </x:c>
      <x:c r="J6" t="n">
        <x:f>H6/I6</x:f>
        <x:v>0</x:v>
      </x:c>
    </x:row>
    <x:row r="7">
      <x:c r="H7" t="n">
        <x:f>SUM(B7:G7)</x:f>
        <x:v>0</x:v>
      </x:c>
      <x:c r="I7" t="inlineStr">
        <x:is>
          <x:t xml:space="preserve">70</x:t>
        </x:is>
      </x:c>
      <x:c r="J7" t="n">
        <x:f>H7/I7</x:f>
        <x:v>0</x:v>
      </x:c>
    </x:row>
    <x:row r="8">
      <x:c r="H8" t="n">
        <x:f>SUM(B8:G8)</x:f>
        <x:v>0</x:v>
      </x:c>
      <x:c r="I8" t="inlineStr">
        <x:is>
          <x:t xml:space="preserve">70</x:t>
        </x:is>
      </x:c>
      <x:c r="J8" t="n">
        <x:f>H8/I8</x:f>
        <x:v>0</x:v>
      </x:c>
    </x:row>
    <x:row r="9">
      <x:c r="H9" t="n">
        <x:f>SUM(B9:G9)</x:f>
        <x:v>0</x:v>
      </x:c>
      <x:c r="I9" t="inlineStr">
        <x:is>
          <x:t xml:space="preserve">70</x:t>
        </x:is>
      </x:c>
      <x:c r="J9" t="n">
        <x:f>H9/I9</x:f>
        <x:v>0</x:v>
      </x:c>
    </x:row>
    <x:row r="10">
      <x:c r="H10" t="n">
        <x:f>SUM(B10:G10)</x:f>
        <x:v>0</x:v>
      </x:c>
      <x:c r="I10" t="inlineStr">
        <x:is>
          <x:t xml:space="preserve">70</x:t>
        </x:is>
      </x:c>
      <x:c r="J10" t="n">
        <x:f>H10/I10</x:f>
        <x:v>0</x:v>
      </x:c>
    </x:row>
    <x:row r="11">
      <x:c r="H11" t="n">
        <x:f>SUM(B11:G11)</x:f>
        <x:v>0</x:v>
      </x:c>
      <x:c r="I11" t="inlineStr">
        <x:is>
          <x:t xml:space="preserve">70</x:t>
        </x:is>
      </x:c>
      <x:c r="J11" t="n">
        <x:f>H11/I11</x:f>
        <x:v>0</x:v>
      </x:c>
    </x:row>
    <x:row r="12">
      <x:c r="H12" t="n">
        <x:f>SUM(B12:G12)</x:f>
        <x:v>0</x:v>
      </x:c>
      <x:c r="I12" t="inlineStr">
        <x:is>
          <x:t xml:space="preserve">70</x:t>
        </x:is>
      </x:c>
      <x:c r="J12" t="n">
        <x:f>H12/I12</x:f>
        <x:v>0</x:v>
      </x:c>
    </x:row>
    <x:row r="13">
      <x:c r="H13" t="n">
        <x:f>SUM(B13:G13)</x:f>
        <x:v>0</x:v>
      </x:c>
      <x:c r="I13" t="inlineStr">
        <x:is>
          <x:t xml:space="preserve">70</x:t>
        </x:is>
      </x:c>
      <x:c r="J13" t="n">
        <x:f>H13/I13</x:f>
        <x:v>0</x:v>
      </x:c>
    </x:row>
    <x:row r="14">
      <x:c r="H14" t="n">
        <x:f>SUM(B14:G14)</x:f>
        <x:v>0</x:v>
      </x:c>
      <x:c r="I14" t="inlineStr">
        <x:is>
          <x:t xml:space="preserve">70</x:t>
        </x:is>
      </x:c>
      <x:c r="J14" t="n">
        <x:f>H14/I14</x:f>
        <x:v>0</x:v>
      </x:c>
    </x:row>
    <x:row r="15">
      <x:c r="H15" t="n">
        <x:f>SUM(B15:G15)</x:f>
        <x:v>0</x:v>
      </x:c>
      <x:c r="I15" t="inlineStr">
        <x:is>
          <x:t xml:space="preserve">70</x:t>
        </x:is>
      </x:c>
      <x:c r="J15" t="n">
        <x:f>H15/I15</x:f>
        <x:v>0</x:v>
      </x:c>
    </x:row>
    <x:row r="16">
      <x:c r="H16" t="n">
        <x:f>SUM(B16:G16)</x:f>
        <x:v>0</x:v>
      </x:c>
      <x:c r="I16" t="inlineStr">
        <x:is>
          <x:t xml:space="preserve">70</x:t>
        </x:is>
      </x:c>
      <x:c r="J16" t="n">
        <x:f>H16/I16</x:f>
        <x:v>0</x:v>
      </x:c>
    </x:row>
    <x:row r="17">
      <x:c r="H17" t="n">
        <x:f>SUM(B17:G17)</x:f>
        <x:v>0</x:v>
      </x:c>
      <x:c r="I17" t="inlineStr">
        <x:is>
          <x:t xml:space="preserve">70</x:t>
        </x:is>
      </x:c>
      <x:c r="J17" t="n">
        <x:f>H17/I17</x:f>
        <x:v>0</x:v>
      </x:c>
    </x:row>
    <x:row r="18">
      <x:c r="H18" t="n">
        <x:f>SUM(B18:G18)</x:f>
        <x:v>0</x:v>
      </x:c>
      <x:c r="I18" t="inlineStr">
        <x:is>
          <x:t xml:space="preserve">70</x:t>
        </x:is>
      </x:c>
      <x:c r="J18" t="n">
        <x:f>H18/I18</x:f>
        <x:v>0</x:v>
      </x:c>
    </x:row>
    <x:row r="19">
      <x:c r="H19" t="n">
        <x:f>SUM(B19:G19)</x:f>
        <x:v>0</x:v>
      </x:c>
      <x:c r="I19" t="inlineStr">
        <x:is>
          <x:t xml:space="preserve">70</x:t>
        </x:is>
      </x:c>
      <x:c r="J19" t="n">
        <x:f>H19/I19</x:f>
        <x:v>0</x:v>
      </x:c>
    </x:row>
    <x:row r="20">
      <x:c r="H20" t="n">
        <x:f>SUM(B20:G20)</x:f>
        <x:v>0</x:v>
      </x:c>
      <x:c r="I20" t="inlineStr">
        <x:is>
          <x:t xml:space="preserve">70</x:t>
        </x:is>
      </x:c>
      <x:c r="J20" t="n">
        <x:f>H20/I20</x:f>
        <x:v>0</x:v>
      </x:c>
    </x:row>
    <x:row r="21">
      <x:c r="H21" t="n">
        <x:f>SUM(B21:G21)</x:f>
        <x:v>0</x:v>
      </x:c>
      <x:c r="I21" t="inlineStr">
        <x:is>
          <x:t xml:space="preserve">70</x:t>
        </x:is>
      </x:c>
      <x:c r="J21" t="n">
        <x:f>H21/I21</x:f>
        <x:v>0</x:v>
      </x:c>
    </x:row>
    <x:row r="22">
      <x:c r="H22" t="n">
        <x:f>SUM(B22:G22)</x:f>
        <x:v>0</x:v>
      </x:c>
      <x:c r="I22" t="inlineStr">
        <x:is>
          <x:t xml:space="preserve">70</x:t>
        </x:is>
      </x:c>
      <x:c r="J22" t="n">
        <x:f>H22/I22</x:f>
        <x:v>0</x:v>
      </x:c>
    </x:row>
    <x:row r="23">
      <x:c r="H23" t="n">
        <x:f>SUM(B23:G23)</x:f>
        <x:v>0</x:v>
      </x:c>
      <x:c r="I23" t="inlineStr">
        <x:is>
          <x:t xml:space="preserve">70</x:t>
        </x:is>
      </x:c>
      <x:c r="J23" t="n">
        <x:f>H23/I23</x:f>
        <x:v>0</x:v>
      </x:c>
    </x:row>
    <x:row r="24">
      <x:c r="H24" t="n">
        <x:f>SUM(B24:G24)</x:f>
        <x:v>0</x:v>
      </x:c>
      <x:c r="I24" t="inlineStr">
        <x:is>
          <x:t xml:space="preserve">70</x:t>
        </x:is>
      </x:c>
      <x:c r="J24" t="n">
        <x:f>H24/I24</x:f>
        <x:v>0</x:v>
      </x:c>
    </x:row>
    <x:row r="25">
      <x:c r="H25" t="n">
        <x:f>SUM(B25:G25)</x:f>
        <x:v>0</x:v>
      </x:c>
      <x:c r="I25" t="inlineStr">
        <x:is>
          <x:t xml:space="preserve">70</x:t>
        </x:is>
      </x:c>
      <x:c r="J25" t="n">
        <x:f>H25/I25</x:f>
        <x:v>0</x:v>
      </x:c>
    </x:row>
    <x:row r="26">
      <x:c r="H26" t="n">
        <x:f>SUM(B26:G26)</x:f>
        <x:v>0</x:v>
      </x:c>
      <x:c r="I26" t="inlineStr">
        <x:is>
          <x:t xml:space="preserve">70</x:t>
        </x:is>
      </x:c>
      <x:c r="J26" t="n">
        <x:f>H26/I26</x:f>
        <x:v>0</x:v>
      </x:c>
    </x:row>
    <x:row r="27">
      <x:c r="H27" t="n">
        <x:f>SUM(B27:G27)</x:f>
        <x:v>0</x:v>
      </x:c>
      <x:c r="I27" t="inlineStr">
        <x:is>
          <x:t xml:space="preserve">70</x:t>
        </x:is>
      </x:c>
      <x:c r="J27" t="n">
        <x:f>H27/I27</x:f>
        <x:v>0</x:v>
      </x:c>
    </x:row>
    <x:row r="28">
      <x:c r="H28" t="n">
        <x:f>SUM(B28:G28)</x:f>
        <x:v>0</x:v>
      </x:c>
      <x:c r="I28" t="inlineStr">
        <x:is>
          <x:t xml:space="preserve">70</x:t>
        </x:is>
      </x:c>
      <x:c r="J28" t="n">
        <x:f>H28/I28</x:f>
        <x:v>0</x:v>
      </x:c>
    </x:row>
    <x:row r="29">
      <x:c r="H29" t="n">
        <x:f>SUM(B29:G29)</x:f>
        <x:v>0</x:v>
      </x:c>
      <x:c r="I29" t="inlineStr">
        <x:is>
          <x:t xml:space="preserve">70</x:t>
        </x:is>
      </x:c>
      <x:c r="J29" t="n">
        <x:f>H29/I29</x:f>
        <x:v>0</x:v>
      </x:c>
    </x:row>
    <x:row r="30">
      <x:c r="H30" t="n">
        <x:f>SUM(B30:G30)</x:f>
        <x:v>0</x:v>
      </x:c>
      <x:c r="I30" t="inlineStr">
        <x:is>
          <x:t xml:space="preserve">70</x:t>
        </x:is>
      </x:c>
      <x:c r="J30" t="n">
        <x:f>H30/I30</x:f>
        <x:v>0</x:v>
      </x:c>
    </x:row>
    <x:row r="31">
      <x:c r="H31" t="n">
        <x:f>SUM(B31:G31)</x:f>
        <x:v>0</x:v>
      </x:c>
      <x:c r="I31" t="inlineStr">
        <x:is>
          <x:t xml:space="preserve">70</x:t>
        </x:is>
      </x:c>
      <x:c r="J31" t="n">
        <x:f>H31/I31</x:f>
        <x:v>0</x:v>
      </x:c>
    </x:row>
    <x:row r="32">
      <x:c r="H32" t="n">
        <x:f>SUM(B32:G32)</x:f>
        <x:v>0</x:v>
      </x:c>
      <x:c r="I32" t="inlineStr">
        <x:is>
          <x:t xml:space="preserve">70</x:t>
        </x:is>
      </x:c>
      <x:c r="J32" t="n">
        <x:f>H32/I32</x:f>
        <x:v>0</x:v>
      </x:c>
    </x:row>
    <x:row r="33">
      <x:c r="H33" t="n">
        <x:f>SUM(B33:G33)</x:f>
        <x:v>0</x:v>
      </x:c>
      <x:c r="I33" t="inlineStr">
        <x:is>
          <x:t xml:space="preserve">70</x:t>
        </x:is>
      </x:c>
      <x:c r="J33" t="n">
        <x:f>H33/I33</x:f>
        <x:v>0</x:v>
      </x:c>
    </x:row>
    <x:row r="34">
      <x:c r="H34" t="n">
        <x:f>SUM(B34:G34)</x:f>
        <x:v>0</x:v>
      </x:c>
      <x:c r="I34" t="inlineStr">
        <x:is>
          <x:t xml:space="preserve">70</x:t>
        </x:is>
      </x:c>
      <x:c r="J34" t="n">
        <x:f>H34/I34</x:f>
        <x:v>0</x:v>
      </x:c>
    </x:row>
    <x:row r="35">
      <x:c r="H35" t="n">
        <x:f>SUM(B35:G35)</x:f>
        <x:v>0</x:v>
      </x:c>
      <x:c r="I35" t="inlineStr">
        <x:is>
          <x:t xml:space="preserve">70</x:t>
        </x:is>
      </x:c>
      <x:c r="J35" t="n">
        <x:f>H35/I35</x:f>
        <x:v>0</x:v>
      </x:c>
    </x:row>
    <x:row r="36">
      <x:c r="H36" t="n">
        <x:f>SUM(B36:G36)</x:f>
        <x:v>0</x:v>
      </x:c>
      <x:c r="I36" t="inlineStr">
        <x:is>
          <x:t xml:space="preserve">70</x:t>
        </x:is>
      </x:c>
      <x:c r="J36" t="n">
        <x:f>H36/I36</x:f>
        <x:v>0</x:v>
      </x:c>
    </x:row>
    <x:row r="37">
      <x:c r="H37" t="n">
        <x:f>SUM(B37:G37)</x:f>
        <x:v>0</x:v>
      </x:c>
      <x:c r="I37" t="inlineStr">
        <x:is>
          <x:t xml:space="preserve">70</x:t>
        </x:is>
      </x:c>
      <x:c r="J37" t="n">
        <x:f>H37/I37</x:f>
        <x:v>0</x:v>
      </x:c>
    </x:row>
    <x:row r="38">
      <x:c r="H38" t="n">
        <x:f>SUM(B38:G38)</x:f>
        <x:v>0</x:v>
      </x:c>
      <x:c r="I38" t="inlineStr">
        <x:is>
          <x:t xml:space="preserve">70</x:t>
        </x:is>
      </x:c>
      <x:c r="J38" t="n">
        <x:f>H38/I38</x:f>
        <x:v>0</x:v>
      </x:c>
    </x:row>
    <x:row r="39">
      <x:c r="H39" t="n">
        <x:f>SUM(B39:G39)</x:f>
        <x:v>0</x:v>
      </x:c>
      <x:c r="I39" t="inlineStr">
        <x:is>
          <x:t xml:space="preserve">70</x:t>
        </x:is>
      </x:c>
      <x:c r="J39" t="n">
        <x:f>H39/I39</x:f>
        <x:v>0</x:v>
      </x:c>
    </x:row>
    <x:row r="40">
      <x:c r="H40" t="n">
        <x:f>SUM(B40:G40)</x:f>
        <x:v>0</x:v>
      </x:c>
      <x:c r="I40" t="inlineStr">
        <x:is>
          <x:t xml:space="preserve">70</x:t>
        </x:is>
      </x:c>
      <x:c r="J40" t="n">
        <x:f>H40/I40</x:f>
        <x:v>0</x:v>
      </x:c>
    </x:row>
    <x:row r="41">
      <x:c r="H41" t="n">
        <x:f>SUM(B41:G41)</x:f>
        <x:v>0</x:v>
      </x:c>
      <x:c r="I41" t="inlineStr">
        <x:is>
          <x:t xml:space="preserve">70</x:t>
        </x:is>
      </x:c>
      <x:c r="J41" t="n">
        <x:f>H41/I41</x:f>
        <x:v>0</x:v>
      </x:c>
    </x:row>
    <x:row r="42">
      <x:c r="H42" t="n">
        <x:f>SUM(B42:G42)</x:f>
        <x:v>0</x:v>
      </x:c>
      <x:c r="I42" t="inlineStr">
        <x:is>
          <x:t xml:space="preserve">70</x:t>
        </x:is>
      </x:c>
      <x:c r="J42" t="n">
        <x:f>H42/I42</x:f>
        <x:v>0</x:v>
      </x:c>
    </x:row>
    <x:row r="43">
      <x:c r="H43" t="n">
        <x:f>SUM(B43:G43)</x:f>
        <x:v>0</x:v>
      </x:c>
      <x:c r="I43" t="inlineStr">
        <x:is>
          <x:t xml:space="preserve">70</x:t>
        </x:is>
      </x:c>
      <x:c r="J43" t="n">
        <x:f>H43/I43</x:f>
        <x:v>0</x:v>
      </x:c>
    </x:row>
    <x:row r="44">
      <x:c r="H44" t="n">
        <x:f>SUM(B44:G44)</x:f>
        <x:v>0</x:v>
      </x:c>
      <x:c r="I44" t="inlineStr">
        <x:is>
          <x:t xml:space="preserve">70</x:t>
        </x:is>
      </x:c>
      <x:c r="J44" t="n">
        <x:f>H44/I44</x:f>
        <x:v>0</x:v>
      </x:c>
    </x:row>
    <x:row r="45">
      <x:c r="H45" t="n">
        <x:f>SUM(B45:G45)</x:f>
        <x:v>0</x:v>
      </x:c>
      <x:c r="I45" t="inlineStr">
        <x:is>
          <x:t xml:space="preserve">70</x:t>
        </x:is>
      </x:c>
      <x:c r="J45" t="n">
        <x:f>H45/I45</x:f>
        <x:v>0</x:v>
      </x:c>
    </x:row>
    <x:row r="46">
      <x:c r="H46" t="n">
        <x:f>SUM(B46:G46)</x:f>
        <x:v>0</x:v>
      </x:c>
      <x:c r="I46" t="inlineStr">
        <x:is>
          <x:t xml:space="preserve">70</x:t>
        </x:is>
      </x:c>
      <x:c r="J46" t="n">
        <x:f>H46/I46</x:f>
        <x:v>0</x:v>
      </x:c>
    </x:row>
    <x:row r="47">
      <x:c r="H47" t="n">
        <x:f>SUM(B47:G47)</x:f>
        <x:v>0</x:v>
      </x:c>
      <x:c r="I47" t="inlineStr">
        <x:is>
          <x:t xml:space="preserve">70</x:t>
        </x:is>
      </x:c>
      <x:c r="J47" t="n">
        <x:f>H47/I47</x:f>
        <x:v>0</x:v>
      </x:c>
    </x:row>
    <x:row r="48">
      <x:c r="H48" t="n">
        <x:f>SUM(B48:G48)</x:f>
        <x:v>0</x:v>
      </x:c>
      <x:c r="I48" t="inlineStr">
        <x:is>
          <x:t xml:space="preserve">70</x:t>
        </x:is>
      </x:c>
      <x:c r="J48" t="n">
        <x:f>H48/I48</x:f>
        <x:v>0</x:v>
      </x:c>
    </x:row>
    <x:row r="49">
      <x:c r="H49" t="n">
        <x:f>SUM(B49:G49)</x:f>
        <x:v>0</x:v>
      </x:c>
      <x:c r="I49" t="inlineStr">
        <x:is>
          <x:t xml:space="preserve">70</x:t>
        </x:is>
      </x:c>
      <x:c r="J49" t="n">
        <x:f>H49/I49</x:f>
        <x:v>0</x:v>
      </x:c>
    </x:row>
    <x:row r="50">
      <x:c r="H50" t="n">
        <x:f>SUM(B50:G50)</x:f>
        <x:v>0</x:v>
      </x:c>
      <x:c r="I50" t="inlineStr">
        <x:is>
          <x:t xml:space="preserve">70</x:t>
        </x:is>
      </x:c>
      <x:c r="J50" t="n">
        <x:f>H50/I50</x:f>
        <x:v>0</x:v>
      </x:c>
    </x:row>
    <x:row r="51">
      <x:c r="H51" t="n">
        <x:f>SUM(B51:G51)</x:f>
        <x:v>0</x:v>
      </x:c>
      <x:c r="I51" t="inlineStr">
        <x:is>
          <x:t xml:space="preserve">70</x:t>
        </x:is>
      </x:c>
      <x:c r="J51" t="n">
        <x:f>H51/I51</x:f>
        <x:v>0</x:v>
      </x:c>
    </x:row>
    <x:row r="52">
      <x:c r="H52" t="n">
        <x:f>SUM(B52:G52)</x:f>
        <x:v>0</x:v>
      </x:c>
      <x:c r="I52" t="inlineStr">
        <x:is>
          <x:t xml:space="preserve">70</x:t>
        </x:is>
      </x:c>
      <x:c r="J52" t="n">
        <x:f>H52/I52</x:f>
        <x:v>0</x:v>
      </x:c>
    </x:row>
    <x:row r="53">
      <x:c r="H53" t="n">
        <x:f>SUM(B53:G53)</x:f>
        <x:v>0</x:v>
      </x:c>
      <x:c r="I53" t="inlineStr">
        <x:is>
          <x:t xml:space="preserve">70</x:t>
        </x:is>
      </x:c>
      <x:c r="J53" t="n">
        <x:f>H53/I53</x:f>
        <x:v>0</x:v>
      </x:c>
    </x:row>
    <x:row r="54">
      <x:c r="H54" t="n">
        <x:f>SUM(B54:G54)</x:f>
        <x:v>0</x:v>
      </x:c>
      <x:c r="I54" t="inlineStr">
        <x:is>
          <x:t xml:space="preserve">70</x:t>
        </x:is>
      </x:c>
      <x:c r="J54" t="n">
        <x:f>H54/I54</x:f>
        <x:v>0</x:v>
      </x:c>
    </x:row>
    <x:row r="55">
      <x:c r="H55" t="n">
        <x:f>SUM(B55:G55)</x:f>
        <x:v>0</x:v>
      </x:c>
      <x:c r="I55" t="inlineStr">
        <x:is>
          <x:t xml:space="preserve">70</x:t>
        </x:is>
      </x:c>
      <x:c r="J55" t="n">
        <x:f>H55/I55</x:f>
        <x:v>0</x:v>
      </x:c>
    </x:row>
    <x:row r="56">
      <x:c r="H56" t="n">
        <x:f>SUM(B56:G56)</x:f>
        <x:v>0</x:v>
      </x:c>
      <x:c r="I56" t="inlineStr">
        <x:is>
          <x:t xml:space="preserve">70</x:t>
        </x:is>
      </x:c>
      <x:c r="J56" t="n">
        <x:f>H56/I56</x:f>
        <x:v>0</x:v>
      </x:c>
    </x:row>
    <x:row r="57">
      <x:c r="H57" t="n">
        <x:f>SUM(B57:G57)</x:f>
        <x:v>0</x:v>
      </x:c>
      <x:c r="I57" t="inlineStr">
        <x:is>
          <x:t xml:space="preserve">70</x:t>
        </x:is>
      </x:c>
      <x:c r="J57" t="n">
        <x:f>H57/I57</x:f>
        <x:v>0</x:v>
      </x:c>
    </x:row>
    <x:row r="58">
      <x:c r="H58" t="n">
        <x:f>SUM(B58:G58)</x:f>
        <x:v>0</x:v>
      </x:c>
      <x:c r="I58" t="inlineStr">
        <x:is>
          <x:t xml:space="preserve">70</x:t>
        </x:is>
      </x:c>
      <x:c r="J58" t="n">
        <x:f>H58/I58</x:f>
        <x:v>0</x:v>
      </x:c>
    </x:row>
    <x:row r="59">
      <x:c r="H59" t="n">
        <x:f>SUM(B59:G59)</x:f>
        <x:v>0</x:v>
      </x:c>
      <x:c r="I59" t="inlineStr">
        <x:is>
          <x:t xml:space="preserve">70</x:t>
        </x:is>
      </x:c>
      <x:c r="J59" t="n">
        <x:f>H59/I59</x:f>
        <x:v>0</x:v>
      </x:c>
    </x:row>
    <x:row r="60">
      <x:c r="H60" t="n">
        <x:f>SUM(B60:G60)</x:f>
        <x:v>0</x:v>
      </x:c>
      <x:c r="I60" t="inlineStr">
        <x:is>
          <x:t xml:space="preserve">70</x:t>
        </x:is>
      </x:c>
      <x:c r="J60" t="n">
        <x:f>H60/I60</x:f>
        <x:v>0</x:v>
      </x:c>
    </x:row>
    <x:row r="61">
      <x:c r="H61" t="n">
        <x:f>SUM(B61:G61)</x:f>
        <x:v>0</x:v>
      </x:c>
      <x:c r="I61" t="inlineStr">
        <x:is>
          <x:t xml:space="preserve">70</x:t>
        </x:is>
      </x:c>
      <x:c r="J61" t="n">
        <x:f>H61/I61</x:f>
        <x:v>0</x:v>
      </x:c>
    </x:row>
    <x:row r="62">
      <x:c r="H62" t="n">
        <x:f>SUM(B62:G62)</x:f>
        <x:v>0</x:v>
      </x:c>
      <x:c r="I62" t="inlineStr">
        <x:is>
          <x:t xml:space="preserve">70</x:t>
        </x:is>
      </x:c>
      <x:c r="J62" t="n">
        <x:f>H62/I62</x:f>
        <x:v>0</x:v>
      </x:c>
    </x:row>
    <x:row r="63">
      <x:c r="H63" t="n">
        <x:f>SUM(B63:G63)</x:f>
        <x:v>0</x:v>
      </x:c>
      <x:c r="I63" t="inlineStr">
        <x:is>
          <x:t xml:space="preserve">70</x:t>
        </x:is>
      </x:c>
      <x:c r="J63" t="n">
        <x:f>H63/I63</x:f>
        <x:v>0</x:v>
      </x:c>
    </x:row>
    <x:row r="64">
      <x:c r="H64" t="n">
        <x:f>SUM(B64:G64)</x:f>
        <x:v>0</x:v>
      </x:c>
      <x:c r="I64" t="inlineStr">
        <x:is>
          <x:t xml:space="preserve">70</x:t>
        </x:is>
      </x:c>
      <x:c r="J64" t="n">
        <x:f>H64/I64</x:f>
        <x:v>0</x:v>
      </x:c>
    </x:row>
    <x:row r="65">
      <x:c r="H65" t="n">
        <x:f>SUM(B65:G65)</x:f>
        <x:v>0</x:v>
      </x:c>
      <x:c r="I65" t="inlineStr">
        <x:is>
          <x:t xml:space="preserve">70</x:t>
        </x:is>
      </x:c>
      <x:c r="J65" t="n">
        <x:f>H65/I65</x:f>
        <x:v>0</x:v>
      </x:c>
    </x:row>
    <x:row r="66">
      <x:c r="H66" t="n">
        <x:f>SUM(B66:G66)</x:f>
        <x:v>0</x:v>
      </x:c>
      <x:c r="I66" t="inlineStr">
        <x:is>
          <x:t xml:space="preserve">70</x:t>
        </x:is>
      </x:c>
      <x:c r="J66" t="n">
        <x:f>H66/I66</x:f>
        <x:v>0</x:v>
      </x:c>
    </x:row>
    <x:row r="67">
      <x:c r="H67" t="n">
        <x:f>SUM(B67:G67)</x:f>
        <x:v>0</x:v>
      </x:c>
      <x:c r="I67" t="inlineStr">
        <x:is>
          <x:t xml:space="preserve">70</x:t>
        </x:is>
      </x:c>
      <x:c r="J67" t="n">
        <x:f>H67/I67</x:f>
        <x:v>0</x:v>
      </x:c>
    </x:row>
    <x:row r="68">
      <x:c r="H68" t="n">
        <x:f>SUM(B68:G68)</x:f>
        <x:v>0</x:v>
      </x:c>
      <x:c r="I68" t="inlineStr">
        <x:is>
          <x:t xml:space="preserve">70</x:t>
        </x:is>
      </x:c>
      <x:c r="J68" t="n">
        <x:f>H68/I68</x:f>
        <x:v>0</x:v>
      </x:c>
    </x:row>
    <x:row r="69">
      <x:c r="H69" t="n">
        <x:f>SUM(B69:G69)</x:f>
        <x:v>0</x:v>
      </x:c>
      <x:c r="I69" t="inlineStr">
        <x:is>
          <x:t xml:space="preserve">70</x:t>
        </x:is>
      </x:c>
      <x:c r="J69" t="n">
        <x:f>H69/I69</x:f>
        <x:v>0</x:v>
      </x:c>
    </x:row>
    <x:row r="70">
      <x:c r="H70" t="n">
        <x:f>SUM(B70:G70)</x:f>
        <x:v>0</x:v>
      </x:c>
      <x:c r="I70" t="inlineStr">
        <x:is>
          <x:t xml:space="preserve">70</x:t>
        </x:is>
      </x:c>
      <x:c r="J70" t="n">
        <x:f>H70/I70</x:f>
        <x:v>0</x:v>
      </x:c>
    </x:row>
    <x:row r="71">
      <x:c r="H71" t="n">
        <x:f>SUM(B71:G71)</x:f>
        <x:v>0</x:v>
      </x:c>
      <x:c r="I71" t="inlineStr">
        <x:is>
          <x:t xml:space="preserve">70</x:t>
        </x:is>
      </x:c>
      <x:c r="J71" t="n">
        <x:f>H71/I71</x:f>
        <x:v>0</x:v>
      </x:c>
    </x:row>
    <x:row r="72">
      <x:c r="H72" t="n">
        <x:f>SUM(B72:G72)</x:f>
        <x:v>0</x:v>
      </x:c>
      <x:c r="I72" t="inlineStr">
        <x:is>
          <x:t xml:space="preserve">70</x:t>
        </x:is>
      </x:c>
      <x:c r="J72" t="n">
        <x:f>H72/I72</x:f>
        <x:v>0</x:v>
      </x:c>
    </x:row>
    <x:row r="73">
      <x:c r="H73" t="n">
        <x:f>SUM(B73:G73)</x:f>
        <x:v>0</x:v>
      </x:c>
      <x:c r="I73" t="inlineStr">
        <x:is>
          <x:t xml:space="preserve">70</x:t>
        </x:is>
      </x:c>
      <x:c r="J73" t="n">
        <x:f>H73/I73</x:f>
        <x:v>0</x:v>
      </x:c>
    </x:row>
    <x:row r="74">
      <x:c r="H74" t="n">
        <x:f>SUM(B74:G74)</x:f>
        <x:v>0</x:v>
      </x:c>
      <x:c r="I74" t="inlineStr">
        <x:is>
          <x:t xml:space="preserve">70</x:t>
        </x:is>
      </x:c>
      <x:c r="J74" t="n">
        <x:f>H74/I74</x:f>
        <x:v>0</x:v>
      </x:c>
    </x:row>
    <x:row r="75">
      <x:c r="H75" t="n">
        <x:f>SUM(B75:G75)</x:f>
        <x:v>0</x:v>
      </x:c>
      <x:c r="I75" t="inlineStr">
        <x:is>
          <x:t xml:space="preserve">70</x:t>
        </x:is>
      </x:c>
      <x:c r="J75" t="n">
        <x:f>H75/I75</x:f>
        <x:v>0</x:v>
      </x:c>
    </x:row>
    <x:row r="76">
      <x:c r="H76" t="n">
        <x:f>SUM(B76:G76)</x:f>
        <x:v>0</x:v>
      </x:c>
      <x:c r="I76" t="inlineStr">
        <x:is>
          <x:t xml:space="preserve">70</x:t>
        </x:is>
      </x:c>
      <x:c r="J76" t="n">
        <x:f>H76/I76</x:f>
        <x:v>0</x:v>
      </x:c>
    </x:row>
    <x:row r="77">
      <x:c r="H77" t="n">
        <x:f>SUM(B77:G77)</x:f>
        <x:v>0</x:v>
      </x:c>
      <x:c r="I77" t="inlineStr">
        <x:is>
          <x:t xml:space="preserve">70</x:t>
        </x:is>
      </x:c>
      <x:c r="J77" t="n">
        <x:f>H77/I77</x:f>
        <x:v>0</x:v>
      </x:c>
    </x:row>
    <x:row r="78">
      <x:c r="H78" t="n">
        <x:f>SUM(B78:G78)</x:f>
        <x:v>0</x:v>
      </x:c>
      <x:c r="I78" t="inlineStr">
        <x:is>
          <x:t xml:space="preserve">70</x:t>
        </x:is>
      </x:c>
      <x:c r="J78" t="n">
        <x:f>H78/I78</x:f>
        <x:v>0</x:v>
      </x:c>
    </x:row>
    <x:row r="79">
      <x:c r="H79" t="n">
        <x:f>SUM(B79:G79)</x:f>
        <x:v>0</x:v>
      </x:c>
      <x:c r="I79" t="inlineStr">
        <x:is>
          <x:t xml:space="preserve">70</x:t>
        </x:is>
      </x:c>
      <x:c r="J79" t="n">
        <x:f>H79/I79</x:f>
        <x:v>0</x:v>
      </x:c>
    </x:row>
    <x:row r="80">
      <x:c r="H80" t="n">
        <x:f>SUM(B80:G80)</x:f>
        <x:v>0</x:v>
      </x:c>
      <x:c r="I80" t="inlineStr">
        <x:is>
          <x:t xml:space="preserve">70</x:t>
        </x:is>
      </x:c>
      <x:c r="J80" t="n">
        <x:f>H80/I80</x:f>
        <x:v>0</x:v>
      </x:c>
    </x:row>
    <x:row r="81">
      <x:c r="H81" t="n">
        <x:f>SUM(B81:G81)</x:f>
        <x:v>0</x:v>
      </x:c>
      <x:c r="I81" t="inlineStr">
        <x:is>
          <x:t xml:space="preserve">70</x:t>
        </x:is>
      </x:c>
      <x:c r="J81" t="n">
        <x:f>H81/I81</x:f>
        <x:v>0</x:v>
      </x:c>
    </x:row>
    <x:row r="82">
      <x:c r="H82" t="n">
        <x:f>SUM(B82:G82)</x:f>
        <x:v>0</x:v>
      </x:c>
      <x:c r="I82" t="inlineStr">
        <x:is>
          <x:t xml:space="preserve">70</x:t>
        </x:is>
      </x:c>
      <x:c r="J82" t="n">
        <x:f>H82/I82</x:f>
        <x:v>0</x:v>
      </x:c>
    </x:row>
    <x:row r="83">
      <x:c r="H83" t="n">
        <x:f>SUM(B83:G83)</x:f>
        <x:v>0</x:v>
      </x:c>
      <x:c r="I83" t="inlineStr">
        <x:is>
          <x:t xml:space="preserve">70</x:t>
        </x:is>
      </x:c>
      <x:c r="J83" t="n">
        <x:f>H83/I83</x:f>
        <x:v>0</x:v>
      </x:c>
    </x:row>
    <x:row r="84">
      <x:c r="H84" t="n">
        <x:f>SUM(B84:G84)</x:f>
        <x:v>0</x:v>
      </x:c>
      <x:c r="I84" t="inlineStr">
        <x:is>
          <x:t xml:space="preserve">70</x:t>
        </x:is>
      </x:c>
      <x:c r="J84" t="n">
        <x:f>H84/I84</x:f>
        <x:v>0</x:v>
      </x:c>
    </x:row>
    <x:row r="85">
      <x:c r="H85" t="n">
        <x:f>SUM(B85:G85)</x:f>
        <x:v>0</x:v>
      </x:c>
      <x:c r="I85" t="inlineStr">
        <x:is>
          <x:t xml:space="preserve">70</x:t>
        </x:is>
      </x:c>
      <x:c r="J85" t="n">
        <x:f>H85/I85</x:f>
        <x:v>0</x:v>
      </x:c>
    </x:row>
    <x:row r="86">
      <x:c r="H86" t="n">
        <x:f>SUM(B86:G86)</x:f>
        <x:v>0</x:v>
      </x:c>
      <x:c r="I86" t="inlineStr">
        <x:is>
          <x:t xml:space="preserve">70</x:t>
        </x:is>
      </x:c>
      <x:c r="J86" t="n">
        <x:f>H86/I86</x:f>
        <x:v>0</x:v>
      </x:c>
    </x:row>
    <x:row r="87">
      <x:c r="H87" t="n">
        <x:f>SUM(B87:G87)</x:f>
        <x:v>0</x:v>
      </x:c>
      <x:c r="I87" t="inlineStr">
        <x:is>
          <x:t xml:space="preserve">70</x:t>
        </x:is>
      </x:c>
      <x:c r="J87" t="n">
        <x:f>H87/I87</x:f>
        <x:v>0</x:v>
      </x:c>
    </x:row>
    <x:row r="88">
      <x:c r="H88" t="n">
        <x:f>SUM(B88:G88)</x:f>
        <x:v>0</x:v>
      </x:c>
      <x:c r="I88" t="inlineStr">
        <x:is>
          <x:t xml:space="preserve">70</x:t>
        </x:is>
      </x:c>
      <x:c r="J88" t="n">
        <x:f>H88/I88</x:f>
        <x:v>0</x:v>
      </x:c>
    </x:row>
    <x:row r="89">
      <x:c r="H89" t="n">
        <x:f>SUM(B89:G89)</x:f>
        <x:v>0</x:v>
      </x:c>
      <x:c r="I89" t="inlineStr">
        <x:is>
          <x:t xml:space="preserve">70</x:t>
        </x:is>
      </x:c>
      <x:c r="J89" t="n">
        <x:f>H89/I89</x:f>
        <x:v>0</x:v>
      </x:c>
    </x:row>
    <x:row r="90">
      <x:c r="H90" t="n">
        <x:f>SUM(B90:G90)</x:f>
        <x:v>0</x:v>
      </x:c>
      <x:c r="I90" t="inlineStr">
        <x:is>
          <x:t xml:space="preserve">70</x:t>
        </x:is>
      </x:c>
      <x:c r="J90" t="n">
        <x:f>H90/I90</x:f>
        <x:v>0</x:v>
      </x:c>
    </x:row>
    <x:row r="91">
      <x:c r="H91" t="n">
        <x:f>SUM(B91:G91)</x:f>
        <x:v>0</x:v>
      </x:c>
      <x:c r="I91" t="inlineStr">
        <x:is>
          <x:t xml:space="preserve">70</x:t>
        </x:is>
      </x:c>
      <x:c r="J91" t="n">
        <x:f>H91/I91</x:f>
        <x:v>0</x:v>
      </x:c>
    </x:row>
    <x:row r="92">
      <x:c r="H92" t="n">
        <x:f>SUM(B92:G92)</x:f>
        <x:v>0</x:v>
      </x:c>
      <x:c r="I92" t="inlineStr">
        <x:is>
          <x:t xml:space="preserve">70</x:t>
        </x:is>
      </x:c>
      <x:c r="J92" t="n">
        <x:f>H92/I92</x:f>
        <x:v>0</x:v>
      </x:c>
    </x:row>
    <x:row r="93">
      <x:c r="H93" t="n">
        <x:f>SUM(B93:G93)</x:f>
        <x:v>0</x:v>
      </x:c>
      <x:c r="I93" t="inlineStr">
        <x:is>
          <x:t xml:space="preserve">70</x:t>
        </x:is>
      </x:c>
      <x:c r="J93" t="n">
        <x:f>H93/I93</x:f>
        <x:v>0</x:v>
      </x:c>
    </x:row>
    <x:row r="94">
      <x:c r="H94" t="n">
        <x:f>SUM(B94:G94)</x:f>
        <x:v>0</x:v>
      </x:c>
      <x:c r="I94" t="inlineStr">
        <x:is>
          <x:t xml:space="preserve">70</x:t>
        </x:is>
      </x:c>
      <x:c r="J94" t="n">
        <x:f>H94/I94</x:f>
        <x:v>0</x:v>
      </x:c>
    </x:row>
    <x:row r="95">
      <x:c r="H95" t="n">
        <x:f>SUM(B95:G95)</x:f>
        <x:v>0</x:v>
      </x:c>
      <x:c r="I95" t="inlineStr">
        <x:is>
          <x:t xml:space="preserve">70</x:t>
        </x:is>
      </x:c>
      <x:c r="J95" t="n">
        <x:f>H95/I95</x:f>
        <x:v>0</x:v>
      </x:c>
    </x:row>
    <x:row r="96">
      <x:c r="H96" t="n">
        <x:f>SUM(B96:G96)</x:f>
        <x:v>0</x:v>
      </x:c>
      <x:c r="I96" t="inlineStr">
        <x:is>
          <x:t xml:space="preserve">70</x:t>
        </x:is>
      </x:c>
      <x:c r="J96" t="n">
        <x:f>H96/I96</x:f>
        <x:v>0</x:v>
      </x:c>
    </x:row>
    <x:row r="97">
      <x:c r="H97" t="n">
        <x:f>SUM(B97:G97)</x:f>
        <x:v>0</x:v>
      </x:c>
      <x:c r="I97" t="inlineStr">
        <x:is>
          <x:t xml:space="preserve">70</x:t>
        </x:is>
      </x:c>
      <x:c r="J97" t="n">
        <x:f>H97/I97</x:f>
        <x:v>0</x:v>
      </x:c>
    </x:row>
    <x:row r="98">
      <x:c r="H98" t="n">
        <x:f>SUM(B98:G98)</x:f>
        <x:v>0</x:v>
      </x:c>
      <x:c r="I98" t="inlineStr">
        <x:is>
          <x:t xml:space="preserve">70</x:t>
        </x:is>
      </x:c>
      <x:c r="J98" t="n">
        <x:f>H98/I98</x:f>
        <x:v>0</x:v>
      </x:c>
    </x:row>
    <x:row r="99">
      <x:c r="H99" t="n">
        <x:f>SUM(B99:G99)</x:f>
        <x:v>0</x:v>
      </x:c>
      <x:c r="I99" t="inlineStr">
        <x:is>
          <x:t xml:space="preserve">70</x:t>
        </x:is>
      </x:c>
      <x:c r="J99" t="n">
        <x:f>H99/I99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Data</x:t>
        </x:is>
      </x:c>
      <x:c r="B1" t="inlineStr">
        <x:is>
          <x:t xml:space="preserve">Disciplina</x:t>
        </x:is>
      </x:c>
      <x:c r="C1" t="inlineStr">
        <x:is>
          <x:t xml:space="preserve">Assunto</x:t>
        </x:is>
      </x:c>
      <x:c r="D1" t="inlineStr">
        <x:is>
          <x:t xml:space="preserve">Questão</x:t>
        </x:is>
      </x:c>
      <x:c r="E1" t="inlineStr">
        <x:is>
          <x:t xml:space="preserve">Motivo do erro</x:t>
        </x:is>
      </x:c>
      <x:c r="F1" t="inlineStr">
        <x:is>
          <x:t xml:space="preserve">Ação de revisão</x:t>
        </x:is>
      </x:c>
      <x:c r="G1" t="inlineStr">
        <x:is>
          <x:t xml:space="preserve">Revisado?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Data</x:t>
        </x:is>
      </x:c>
      <x:c r="B1" t="inlineStr">
        <x:is>
          <x:t xml:space="preserve">Assunto</x:t>
        </x:is>
      </x:c>
      <x:c r="C1" t="inlineStr">
        <x:is>
          <x:t xml:space="preserve">24h</x:t>
        </x:is>
      </x:c>
      <x:c r="D1" t="inlineStr">
        <x:is>
          <x:t xml:space="preserve">7 dias</x:t>
        </x:is>
      </x:c>
      <x:c r="E1" t="inlineStr">
        <x:is>
          <x:t xml:space="preserve">30 dias</x:t>
        </x:is>
      </x:c>
      <x:c r="F1" t="inlineStr">
        <x:is>
          <x:t xml:space="preserve">Concluído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Indicador</x:t>
        </x:is>
      </x:c>
      <x:c r="B1" t="inlineStr">
        <x:is>
          <x:t xml:space="preserve">Meta</x:t>
        </x:is>
      </x:c>
      <x:c r="C1" t="inlineStr">
        <x:is>
          <x:t xml:space="preserve">Atual</x:t>
        </x:is>
      </x:c>
    </x:row>
    <x:row r="2">
      <x:c r="A2" t="inlineStr">
        <x:is>
          <x:t xml:space="preserve">Horas/semana</x:t>
        </x:is>
      </x:c>
      <x:c r="B2" t="n">
        <x:v>15</x:v>
      </x:c>
    </x:row>
    <x:row r="3">
      <x:c r="A3" t="inlineStr">
        <x:is>
          <x:t xml:space="preserve">Questões/semana</x:t>
        </x:is>
      </x:c>
      <x:c r="B3" t="n">
        <x:v>300</x:v>
      </x:c>
    </x:row>
    <x:row r="4">
      <x:c r="A4" t="inlineStr">
        <x:is>
          <x:t xml:space="preserve">Simulados/mês</x:t>
        </x:is>
      </x:c>
      <x:c r="B4" t="n">
        <x:v>4</x:v>
      </x:c>
    </x:row>
    <x:row r="5">
      <x:c r="A5" t="inlineStr">
        <x:is>
          <x:t xml:space="preserve">Taxa de acertos</x:t>
        </x:is>
      </x:c>
      <x:c r="B5" t="n">
        <x:v>0.85</x:v>
      </x:c>
    </x:row>
  </x:sheetData>
  <x:pageMargins left="0.7" right="0.7" top="0.75" bottom="0.75" header="0.3" footer="0.3"/>
</x:worksheet>
</file>